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9ecee6d6cc536b9/Documents/SKRIPSI/Data/"/>
    </mc:Choice>
  </mc:AlternateContent>
  <xr:revisionPtr revIDLastSave="0" documentId="8_{72EB0A42-9C73-4268-99A9-F9CAFF1F707B}" xr6:coauthVersionLast="47" xr6:coauthVersionMax="47" xr10:uidLastSave="{00000000-0000-0000-0000-000000000000}"/>
  <bookViews>
    <workbookView xWindow="14295" yWindow="0" windowWidth="14610" windowHeight="15585" tabRatio="500" firstSheet="2" activeTab="3" xr2:uid="{00000000-000D-0000-FFFF-FFFF00000000}"/>
  </bookViews>
  <sheets>
    <sheet name="Data Rasio Keuangan" sheetId="1" r:id="rId1"/>
    <sheet name="Uji Normalitas KS" sheetId="2" r:id="rId2"/>
    <sheet name="ANOMV" sheetId="3" r:id="rId3"/>
    <sheet name="Analisis ANO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47" i="1" l="1"/>
  <c r="N47" i="1"/>
  <c r="M47" i="1"/>
  <c r="L47" i="1"/>
  <c r="K47" i="1"/>
  <c r="J47" i="1"/>
  <c r="I47" i="1"/>
  <c r="G47" i="1"/>
  <c r="H47" i="1" s="1"/>
  <c r="E47" i="1"/>
  <c r="F47" i="1" s="1"/>
  <c r="O46" i="1"/>
  <c r="N46" i="1"/>
  <c r="M46" i="1"/>
  <c r="L46" i="1"/>
  <c r="K46" i="1"/>
  <c r="J46" i="1"/>
  <c r="I46" i="1"/>
  <c r="G46" i="1"/>
  <c r="H46" i="1" s="1"/>
  <c r="E46" i="1"/>
  <c r="F46" i="1" s="1"/>
  <c r="O45" i="1"/>
  <c r="N45" i="1"/>
  <c r="M45" i="1"/>
  <c r="L45" i="1"/>
  <c r="K45" i="1"/>
  <c r="J45" i="1"/>
  <c r="I45" i="1"/>
  <c r="G45" i="1"/>
  <c r="H45" i="1" s="1"/>
  <c r="E45" i="1"/>
  <c r="F45" i="1" s="1"/>
  <c r="O44" i="1"/>
  <c r="N44" i="1"/>
  <c r="M44" i="1"/>
  <c r="L44" i="1"/>
  <c r="K44" i="1"/>
  <c r="J44" i="1"/>
  <c r="I44" i="1"/>
  <c r="G44" i="1"/>
  <c r="H44" i="1" s="1"/>
  <c r="E44" i="1"/>
  <c r="F44" i="1" s="1"/>
  <c r="O43" i="1"/>
  <c r="N43" i="1"/>
  <c r="M43" i="1"/>
  <c r="L43" i="1"/>
  <c r="K43" i="1"/>
  <c r="J43" i="1"/>
  <c r="I43" i="1"/>
  <c r="G43" i="1"/>
  <c r="H43" i="1" s="1"/>
  <c r="E43" i="1"/>
  <c r="F43" i="1" s="1"/>
  <c r="O42" i="1"/>
  <c r="N42" i="1"/>
  <c r="M42" i="1"/>
  <c r="L42" i="1"/>
  <c r="K42" i="1"/>
  <c r="J42" i="1"/>
  <c r="I42" i="1"/>
  <c r="G42" i="1"/>
  <c r="H42" i="1" s="1"/>
  <c r="E42" i="1"/>
  <c r="F42" i="1" s="1"/>
  <c r="O41" i="1"/>
  <c r="N41" i="1"/>
  <c r="M41" i="1"/>
  <c r="L41" i="1"/>
  <c r="K41" i="1"/>
  <c r="J41" i="1"/>
  <c r="I41" i="1"/>
  <c r="G41" i="1"/>
  <c r="H41" i="1" s="1"/>
  <c r="E41" i="1"/>
  <c r="F41" i="1" s="1"/>
  <c r="O40" i="1"/>
  <c r="N40" i="1"/>
  <c r="M40" i="1"/>
  <c r="L40" i="1"/>
  <c r="K40" i="1"/>
  <c r="J40" i="1"/>
  <c r="I40" i="1"/>
  <c r="G40" i="1"/>
  <c r="H40" i="1" s="1"/>
  <c r="E40" i="1"/>
  <c r="F40" i="1" s="1"/>
  <c r="O39" i="1"/>
  <c r="N39" i="1"/>
  <c r="M39" i="1"/>
  <c r="L39" i="1"/>
  <c r="K39" i="1"/>
  <c r="J39" i="1"/>
  <c r="I39" i="1"/>
  <c r="G39" i="1"/>
  <c r="H39" i="1" s="1"/>
  <c r="E39" i="1"/>
  <c r="F39" i="1" s="1"/>
  <c r="O38" i="1"/>
  <c r="N38" i="1"/>
  <c r="M38" i="1"/>
  <c r="L38" i="1"/>
  <c r="K38" i="1"/>
  <c r="J38" i="1"/>
  <c r="I38" i="1"/>
  <c r="G38" i="1"/>
  <c r="H38" i="1" s="1"/>
  <c r="E38" i="1"/>
  <c r="F38" i="1" s="1"/>
  <c r="O37" i="1"/>
  <c r="N37" i="1"/>
  <c r="M37" i="1"/>
  <c r="L37" i="1"/>
  <c r="K37" i="1"/>
  <c r="J37" i="1"/>
  <c r="I37" i="1"/>
  <c r="G37" i="1"/>
  <c r="H37" i="1" s="1"/>
  <c r="E37" i="1"/>
  <c r="F37" i="1" s="1"/>
  <c r="O36" i="1"/>
  <c r="N36" i="1"/>
  <c r="M36" i="1"/>
  <c r="L36" i="1"/>
  <c r="K36" i="1"/>
  <c r="J36" i="1"/>
  <c r="I36" i="1"/>
  <c r="G36" i="1"/>
  <c r="H36" i="1" s="1"/>
  <c r="E36" i="1"/>
  <c r="F36" i="1" s="1"/>
  <c r="O35" i="1"/>
  <c r="N35" i="1"/>
  <c r="M35" i="1"/>
  <c r="L35" i="1"/>
  <c r="K35" i="1"/>
  <c r="J35" i="1"/>
  <c r="I35" i="1"/>
  <c r="G35" i="1"/>
  <c r="H35" i="1" s="1"/>
  <c r="E35" i="1"/>
  <c r="F35" i="1" s="1"/>
  <c r="O34" i="1"/>
  <c r="N34" i="1"/>
  <c r="M34" i="1"/>
  <c r="L34" i="1"/>
  <c r="K34" i="1"/>
  <c r="J34" i="1"/>
  <c r="I34" i="1"/>
  <c r="G34" i="1"/>
  <c r="H34" i="1" s="1"/>
  <c r="E34" i="1"/>
  <c r="F34" i="1" s="1"/>
  <c r="O33" i="1"/>
  <c r="N33" i="1"/>
  <c r="M33" i="1"/>
  <c r="L33" i="1"/>
  <c r="K33" i="1"/>
  <c r="J33" i="1"/>
  <c r="I33" i="1"/>
  <c r="G33" i="1"/>
  <c r="H33" i="1" s="1"/>
  <c r="E33" i="1"/>
  <c r="F33" i="1" s="1"/>
  <c r="O32" i="1"/>
  <c r="N32" i="1"/>
  <c r="M32" i="1"/>
  <c r="L32" i="1"/>
  <c r="K32" i="1"/>
  <c r="J32" i="1"/>
  <c r="I32" i="1"/>
  <c r="G32" i="1"/>
  <c r="H32" i="1" s="1"/>
  <c r="E32" i="1"/>
  <c r="F32" i="1" s="1"/>
  <c r="O31" i="1"/>
  <c r="N31" i="1"/>
  <c r="M31" i="1"/>
  <c r="L31" i="1"/>
  <c r="K31" i="1"/>
  <c r="J31" i="1"/>
  <c r="I31" i="1"/>
  <c r="G31" i="1"/>
  <c r="H31" i="1" s="1"/>
  <c r="E31" i="1"/>
  <c r="F31" i="1" s="1"/>
  <c r="O30" i="1"/>
  <c r="N30" i="1"/>
  <c r="M30" i="1"/>
  <c r="L30" i="1"/>
  <c r="K30" i="1"/>
  <c r="J30" i="1"/>
  <c r="I30" i="1"/>
  <c r="G30" i="1"/>
  <c r="H30" i="1" s="1"/>
  <c r="E30" i="1"/>
  <c r="F30" i="1" s="1"/>
  <c r="O29" i="1"/>
  <c r="N29" i="1"/>
  <c r="M29" i="1"/>
  <c r="L29" i="1"/>
  <c r="K29" i="1"/>
  <c r="J29" i="1"/>
  <c r="I29" i="1"/>
  <c r="G29" i="1"/>
  <c r="H29" i="1" s="1"/>
  <c r="E29" i="1"/>
  <c r="F29" i="1" s="1"/>
  <c r="O28" i="1"/>
  <c r="N28" i="1"/>
  <c r="M28" i="1"/>
  <c r="L28" i="1"/>
  <c r="K28" i="1"/>
  <c r="J28" i="1"/>
  <c r="I28" i="1"/>
  <c r="G28" i="1"/>
  <c r="H28" i="1" s="1"/>
  <c r="E28" i="1"/>
  <c r="F28" i="1" s="1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H18" i="3"/>
  <c r="G18" i="3"/>
  <c r="F18" i="3"/>
  <c r="E18" i="3"/>
  <c r="D18" i="3"/>
  <c r="K17" i="3"/>
  <c r="J17" i="3"/>
  <c r="I17" i="3"/>
  <c r="H17" i="3"/>
  <c r="G17" i="3"/>
  <c r="F17" i="3"/>
  <c r="E17" i="3"/>
  <c r="D17" i="3"/>
  <c r="K16" i="3"/>
  <c r="J16" i="3"/>
  <c r="I16" i="3"/>
  <c r="H16" i="3"/>
  <c r="G16" i="3"/>
  <c r="F16" i="3"/>
  <c r="E16" i="3"/>
  <c r="D16" i="3"/>
  <c r="B9" i="3"/>
  <c r="B12" i="3" s="1"/>
  <c r="B8" i="3"/>
  <c r="B7" i="3"/>
  <c r="B5" i="3"/>
  <c r="D204" i="2"/>
  <c r="C204" i="2"/>
  <c r="B204" i="2"/>
  <c r="D203" i="2"/>
  <c r="C203" i="2"/>
  <c r="B203" i="2"/>
  <c r="D202" i="2"/>
  <c r="C202" i="2"/>
  <c r="B202" i="2"/>
  <c r="D201" i="2"/>
  <c r="C201" i="2"/>
  <c r="B201" i="2"/>
  <c r="D200" i="2"/>
  <c r="C200" i="2"/>
  <c r="B200" i="2"/>
  <c r="D199" i="2"/>
  <c r="C199" i="2"/>
  <c r="B199" i="2"/>
  <c r="D198" i="2"/>
  <c r="C198" i="2"/>
  <c r="B198" i="2"/>
  <c r="D197" i="2"/>
  <c r="C197" i="2"/>
  <c r="B197" i="2"/>
  <c r="D196" i="2"/>
  <c r="C196" i="2"/>
  <c r="B196" i="2"/>
  <c r="D195" i="2"/>
  <c r="C195" i="2"/>
  <c r="B195" i="2"/>
  <c r="D194" i="2"/>
  <c r="C194" i="2"/>
  <c r="B194" i="2"/>
  <c r="D193" i="2"/>
  <c r="C193" i="2"/>
  <c r="B193" i="2"/>
  <c r="D192" i="2"/>
  <c r="C192" i="2"/>
  <c r="B192" i="2"/>
  <c r="D191" i="2"/>
  <c r="C191" i="2"/>
  <c r="B191" i="2"/>
  <c r="D190" i="2"/>
  <c r="C190" i="2"/>
  <c r="B190" i="2"/>
  <c r="D189" i="2"/>
  <c r="C189" i="2"/>
  <c r="B189" i="2"/>
  <c r="D188" i="2"/>
  <c r="C188" i="2"/>
  <c r="B188" i="2"/>
  <c r="D187" i="2"/>
  <c r="C187" i="2"/>
  <c r="B187" i="2"/>
  <c r="D186" i="2"/>
  <c r="C186" i="2"/>
  <c r="B186" i="2"/>
  <c r="J185" i="2"/>
  <c r="D185" i="2"/>
  <c r="C185" i="2"/>
  <c r="B185" i="2"/>
  <c r="J184" i="2"/>
  <c r="D178" i="2"/>
  <c r="C178" i="2"/>
  <c r="B178" i="2"/>
  <c r="D177" i="2"/>
  <c r="C177" i="2"/>
  <c r="B177" i="2"/>
  <c r="D176" i="2"/>
  <c r="C176" i="2"/>
  <c r="B176" i="2"/>
  <c r="D175" i="2"/>
  <c r="C175" i="2"/>
  <c r="B175" i="2"/>
  <c r="D174" i="2"/>
  <c r="C174" i="2"/>
  <c r="B174" i="2"/>
  <c r="D173" i="2"/>
  <c r="C173" i="2"/>
  <c r="B173" i="2"/>
  <c r="D172" i="2"/>
  <c r="C172" i="2"/>
  <c r="B172" i="2"/>
  <c r="D171" i="2"/>
  <c r="C171" i="2"/>
  <c r="B171" i="2"/>
  <c r="D170" i="2"/>
  <c r="C170" i="2"/>
  <c r="B170" i="2"/>
  <c r="D169" i="2"/>
  <c r="C169" i="2"/>
  <c r="B169" i="2"/>
  <c r="D168" i="2"/>
  <c r="C168" i="2"/>
  <c r="B168" i="2"/>
  <c r="D167" i="2"/>
  <c r="C167" i="2"/>
  <c r="B167" i="2"/>
  <c r="D166" i="2"/>
  <c r="C166" i="2"/>
  <c r="B166" i="2"/>
  <c r="D165" i="2"/>
  <c r="C165" i="2"/>
  <c r="B165" i="2"/>
  <c r="D164" i="2"/>
  <c r="C164" i="2"/>
  <c r="B164" i="2"/>
  <c r="D163" i="2"/>
  <c r="C163" i="2"/>
  <c r="B163" i="2"/>
  <c r="D162" i="2"/>
  <c r="C162" i="2"/>
  <c r="B162" i="2"/>
  <c r="D161" i="2"/>
  <c r="C161" i="2"/>
  <c r="B161" i="2"/>
  <c r="D160" i="2"/>
  <c r="C160" i="2"/>
  <c r="B160" i="2"/>
  <c r="J159" i="2"/>
  <c r="D159" i="2"/>
  <c r="C159" i="2"/>
  <c r="B159" i="2"/>
  <c r="J158" i="2"/>
  <c r="D152" i="2"/>
  <c r="C152" i="2"/>
  <c r="B152" i="2"/>
  <c r="D151" i="2"/>
  <c r="C151" i="2"/>
  <c r="B151" i="2"/>
  <c r="D150" i="2"/>
  <c r="C150" i="2"/>
  <c r="B150" i="2"/>
  <c r="D149" i="2"/>
  <c r="C149" i="2"/>
  <c r="B149" i="2"/>
  <c r="D148" i="2"/>
  <c r="C148" i="2"/>
  <c r="B148" i="2"/>
  <c r="D147" i="2"/>
  <c r="C147" i="2"/>
  <c r="B147" i="2"/>
  <c r="D146" i="2"/>
  <c r="C146" i="2"/>
  <c r="B146" i="2"/>
  <c r="D145" i="2"/>
  <c r="C145" i="2"/>
  <c r="B145" i="2"/>
  <c r="D144" i="2"/>
  <c r="C144" i="2"/>
  <c r="B144" i="2"/>
  <c r="D143" i="2"/>
  <c r="C143" i="2"/>
  <c r="B143" i="2"/>
  <c r="D142" i="2"/>
  <c r="C142" i="2"/>
  <c r="B142" i="2"/>
  <c r="D141" i="2"/>
  <c r="C141" i="2"/>
  <c r="B141" i="2"/>
  <c r="D140" i="2"/>
  <c r="C140" i="2"/>
  <c r="B140" i="2"/>
  <c r="D139" i="2"/>
  <c r="C139" i="2"/>
  <c r="B139" i="2"/>
  <c r="D138" i="2"/>
  <c r="C138" i="2"/>
  <c r="B138" i="2"/>
  <c r="D137" i="2"/>
  <c r="C137" i="2"/>
  <c r="B137" i="2"/>
  <c r="D136" i="2"/>
  <c r="C136" i="2"/>
  <c r="B136" i="2"/>
  <c r="D135" i="2"/>
  <c r="C135" i="2"/>
  <c r="B135" i="2"/>
  <c r="D134" i="2"/>
  <c r="C134" i="2"/>
  <c r="B134" i="2"/>
  <c r="J133" i="2"/>
  <c r="D133" i="2"/>
  <c r="C133" i="2"/>
  <c r="B133" i="2"/>
  <c r="J132" i="2"/>
  <c r="D126" i="2"/>
  <c r="C126" i="2"/>
  <c r="B126" i="2"/>
  <c r="D125" i="2"/>
  <c r="C125" i="2"/>
  <c r="B125" i="2"/>
  <c r="D124" i="2"/>
  <c r="C124" i="2"/>
  <c r="B124" i="2"/>
  <c r="D123" i="2"/>
  <c r="C123" i="2"/>
  <c r="B123" i="2"/>
  <c r="D122" i="2"/>
  <c r="C122" i="2"/>
  <c r="B122" i="2"/>
  <c r="D121" i="2"/>
  <c r="C121" i="2"/>
  <c r="B121" i="2"/>
  <c r="D120" i="2"/>
  <c r="C120" i="2"/>
  <c r="B120" i="2"/>
  <c r="D119" i="2"/>
  <c r="C119" i="2"/>
  <c r="B119" i="2"/>
  <c r="D118" i="2"/>
  <c r="C118" i="2"/>
  <c r="B118" i="2"/>
  <c r="D117" i="2"/>
  <c r="C117" i="2"/>
  <c r="B117" i="2"/>
  <c r="D116" i="2"/>
  <c r="C116" i="2"/>
  <c r="B116" i="2"/>
  <c r="D115" i="2"/>
  <c r="C115" i="2"/>
  <c r="B115" i="2"/>
  <c r="D114" i="2"/>
  <c r="C114" i="2"/>
  <c r="B114" i="2"/>
  <c r="D113" i="2"/>
  <c r="C113" i="2"/>
  <c r="B113" i="2"/>
  <c r="D112" i="2"/>
  <c r="C112" i="2"/>
  <c r="B112" i="2"/>
  <c r="D111" i="2"/>
  <c r="C111" i="2"/>
  <c r="B111" i="2"/>
  <c r="D110" i="2"/>
  <c r="C110" i="2"/>
  <c r="B110" i="2"/>
  <c r="D109" i="2"/>
  <c r="C109" i="2"/>
  <c r="B109" i="2"/>
  <c r="D108" i="2"/>
  <c r="C108" i="2"/>
  <c r="B108" i="2"/>
  <c r="J107" i="2"/>
  <c r="D107" i="2"/>
  <c r="C107" i="2"/>
  <c r="B107" i="2"/>
  <c r="J106" i="2"/>
  <c r="D100" i="2"/>
  <c r="C100" i="2"/>
  <c r="B100" i="2"/>
  <c r="D99" i="2"/>
  <c r="C99" i="2"/>
  <c r="B99" i="2"/>
  <c r="D98" i="2"/>
  <c r="C98" i="2"/>
  <c r="B98" i="2"/>
  <c r="D97" i="2"/>
  <c r="C97" i="2"/>
  <c r="B97" i="2"/>
  <c r="D96" i="2"/>
  <c r="C96" i="2"/>
  <c r="B96" i="2"/>
  <c r="D95" i="2"/>
  <c r="C95" i="2"/>
  <c r="B95" i="2"/>
  <c r="D94" i="2"/>
  <c r="C94" i="2"/>
  <c r="B94" i="2"/>
  <c r="D93" i="2"/>
  <c r="C93" i="2"/>
  <c r="B93" i="2"/>
  <c r="D92" i="2"/>
  <c r="C92" i="2"/>
  <c r="B92" i="2"/>
  <c r="D91" i="2"/>
  <c r="C91" i="2"/>
  <c r="B91" i="2"/>
  <c r="D90" i="2"/>
  <c r="C90" i="2"/>
  <c r="B90" i="2"/>
  <c r="D89" i="2"/>
  <c r="C89" i="2"/>
  <c r="B89" i="2"/>
  <c r="D88" i="2"/>
  <c r="C88" i="2"/>
  <c r="B88" i="2"/>
  <c r="D87" i="2"/>
  <c r="C87" i="2"/>
  <c r="B87" i="2"/>
  <c r="D86" i="2"/>
  <c r="C86" i="2"/>
  <c r="B86" i="2"/>
  <c r="D85" i="2"/>
  <c r="C85" i="2"/>
  <c r="B85" i="2"/>
  <c r="D84" i="2"/>
  <c r="C84" i="2"/>
  <c r="B84" i="2"/>
  <c r="D83" i="2"/>
  <c r="C83" i="2"/>
  <c r="B83" i="2"/>
  <c r="D82" i="2"/>
  <c r="C82" i="2"/>
  <c r="B82" i="2"/>
  <c r="J81" i="2"/>
  <c r="D81" i="2"/>
  <c r="C81" i="2"/>
  <c r="B81" i="2"/>
  <c r="J80" i="2"/>
  <c r="D74" i="2"/>
  <c r="C74" i="2"/>
  <c r="B74" i="2"/>
  <c r="D73" i="2"/>
  <c r="C73" i="2"/>
  <c r="B73" i="2"/>
  <c r="D72" i="2"/>
  <c r="C72" i="2"/>
  <c r="B72" i="2"/>
  <c r="D71" i="2"/>
  <c r="C71" i="2"/>
  <c r="B71" i="2"/>
  <c r="D70" i="2"/>
  <c r="C70" i="2"/>
  <c r="B70" i="2"/>
  <c r="D69" i="2"/>
  <c r="C69" i="2"/>
  <c r="B69" i="2"/>
  <c r="D68" i="2"/>
  <c r="C68" i="2"/>
  <c r="B68" i="2"/>
  <c r="D67" i="2"/>
  <c r="C67" i="2"/>
  <c r="B67" i="2"/>
  <c r="D66" i="2"/>
  <c r="C66" i="2"/>
  <c r="B66" i="2"/>
  <c r="D65" i="2"/>
  <c r="C65" i="2"/>
  <c r="B65" i="2"/>
  <c r="D64" i="2"/>
  <c r="C64" i="2"/>
  <c r="B64" i="2"/>
  <c r="D63" i="2"/>
  <c r="C63" i="2"/>
  <c r="B63" i="2"/>
  <c r="D62" i="2"/>
  <c r="C62" i="2"/>
  <c r="B62" i="2"/>
  <c r="D61" i="2"/>
  <c r="C61" i="2"/>
  <c r="B61" i="2"/>
  <c r="D60" i="2"/>
  <c r="C60" i="2"/>
  <c r="B60" i="2"/>
  <c r="D59" i="2"/>
  <c r="C59" i="2"/>
  <c r="B59" i="2"/>
  <c r="D58" i="2"/>
  <c r="C58" i="2"/>
  <c r="B58" i="2"/>
  <c r="D57" i="2"/>
  <c r="C57" i="2"/>
  <c r="B57" i="2"/>
  <c r="D56" i="2"/>
  <c r="C56" i="2"/>
  <c r="B56" i="2"/>
  <c r="J55" i="2"/>
  <c r="D55" i="2"/>
  <c r="C55" i="2"/>
  <c r="B55" i="2"/>
  <c r="J54" i="2"/>
  <c r="D48" i="2"/>
  <c r="C48" i="2"/>
  <c r="B48" i="2"/>
  <c r="D47" i="2"/>
  <c r="C47" i="2"/>
  <c r="B47" i="2"/>
  <c r="D46" i="2"/>
  <c r="C46" i="2"/>
  <c r="B46" i="2"/>
  <c r="D45" i="2"/>
  <c r="C45" i="2"/>
  <c r="B45" i="2"/>
  <c r="D44" i="2"/>
  <c r="C44" i="2"/>
  <c r="B44" i="2"/>
  <c r="D43" i="2"/>
  <c r="C43" i="2"/>
  <c r="B43" i="2"/>
  <c r="D42" i="2"/>
  <c r="C42" i="2"/>
  <c r="B42" i="2"/>
  <c r="D41" i="2"/>
  <c r="C41" i="2"/>
  <c r="B41" i="2"/>
  <c r="D40" i="2"/>
  <c r="C40" i="2"/>
  <c r="B40" i="2"/>
  <c r="D39" i="2"/>
  <c r="C39" i="2"/>
  <c r="B39" i="2"/>
  <c r="D38" i="2"/>
  <c r="C38" i="2"/>
  <c r="B38" i="2"/>
  <c r="D37" i="2"/>
  <c r="C37" i="2"/>
  <c r="B37" i="2"/>
  <c r="D36" i="2"/>
  <c r="C36" i="2"/>
  <c r="B36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J29" i="2"/>
  <c r="D29" i="2"/>
  <c r="C29" i="2"/>
  <c r="B29" i="2"/>
  <c r="J28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J3" i="2"/>
  <c r="D3" i="2"/>
  <c r="C3" i="2"/>
  <c r="B3" i="2"/>
  <c r="J2" i="2"/>
  <c r="L82" i="1"/>
  <c r="H67" i="4" s="1"/>
  <c r="K82" i="1"/>
  <c r="H58" i="4" s="1"/>
  <c r="J82" i="1"/>
  <c r="H49" i="4" s="1"/>
  <c r="I82" i="1"/>
  <c r="H40" i="4" s="1"/>
  <c r="H82" i="1"/>
  <c r="H31" i="4" s="1"/>
  <c r="G82" i="1"/>
  <c r="H22" i="4" s="1"/>
  <c r="F82" i="1"/>
  <c r="H13" i="4" s="1"/>
  <c r="E82" i="1"/>
  <c r="H4" i="4" s="1"/>
  <c r="L81" i="1"/>
  <c r="C72" i="4" s="1"/>
  <c r="K81" i="1"/>
  <c r="C63" i="4" s="1"/>
  <c r="J81" i="1"/>
  <c r="C54" i="4" s="1"/>
  <c r="I81" i="1"/>
  <c r="C45" i="4" s="1"/>
  <c r="H81" i="1"/>
  <c r="C36" i="4" s="1"/>
  <c r="G81" i="1"/>
  <c r="C27" i="4" s="1"/>
  <c r="F81" i="1"/>
  <c r="C18" i="4" s="1"/>
  <c r="E81" i="1"/>
  <c r="C9" i="4" s="1"/>
  <c r="L80" i="1"/>
  <c r="C71" i="4" s="1"/>
  <c r="K80" i="1"/>
  <c r="C62" i="4" s="1"/>
  <c r="J80" i="1"/>
  <c r="C53" i="4" s="1"/>
  <c r="I80" i="1"/>
  <c r="C44" i="4" s="1"/>
  <c r="H80" i="1"/>
  <c r="C35" i="4" s="1"/>
  <c r="G80" i="1"/>
  <c r="C26" i="4" s="1"/>
  <c r="F80" i="1"/>
  <c r="C17" i="4" s="1"/>
  <c r="E80" i="1"/>
  <c r="C8" i="4" s="1"/>
  <c r="L79" i="1"/>
  <c r="C70" i="4" s="1"/>
  <c r="D70" i="4" s="1"/>
  <c r="K79" i="1"/>
  <c r="C61" i="4" s="1"/>
  <c r="J79" i="1"/>
  <c r="C52" i="4" s="1"/>
  <c r="I79" i="1"/>
  <c r="C43" i="4" s="1"/>
  <c r="H79" i="1"/>
  <c r="C34" i="4" s="1"/>
  <c r="G79" i="1"/>
  <c r="C25" i="4" s="1"/>
  <c r="F79" i="1"/>
  <c r="C16" i="4" s="1"/>
  <c r="E79" i="1"/>
  <c r="C7" i="4" s="1"/>
  <c r="L78" i="1"/>
  <c r="C69" i="4" s="1"/>
  <c r="K78" i="1"/>
  <c r="C60" i="4" s="1"/>
  <c r="J78" i="1"/>
  <c r="C51" i="4" s="1"/>
  <c r="I78" i="1"/>
  <c r="C42" i="4" s="1"/>
  <c r="H78" i="1"/>
  <c r="C33" i="4" s="1"/>
  <c r="G78" i="1"/>
  <c r="C24" i="4" s="1"/>
  <c r="F78" i="1"/>
  <c r="C15" i="4" s="1"/>
  <c r="E78" i="1"/>
  <c r="C6" i="4" s="1"/>
  <c r="L77" i="1"/>
  <c r="C68" i="4" s="1"/>
  <c r="K77" i="1"/>
  <c r="C59" i="4" s="1"/>
  <c r="J77" i="1"/>
  <c r="C50" i="4" s="1"/>
  <c r="I77" i="1"/>
  <c r="C41" i="4" s="1"/>
  <c r="H77" i="1"/>
  <c r="C32" i="4" s="1"/>
  <c r="G77" i="1"/>
  <c r="C23" i="4" s="1"/>
  <c r="F77" i="1"/>
  <c r="C14" i="4" s="1"/>
  <c r="E77" i="1"/>
  <c r="C5" i="4" s="1"/>
  <c r="D43" i="4" l="1"/>
  <c r="D25" i="4"/>
  <c r="D34" i="4"/>
  <c r="D7" i="4"/>
  <c r="D16" i="4"/>
  <c r="D61" i="4"/>
  <c r="E163" i="2"/>
  <c r="F163" i="2" s="1"/>
  <c r="E84" i="2"/>
  <c r="G84" i="2" s="1"/>
  <c r="D5" i="4"/>
  <c r="D8" i="4"/>
  <c r="E8" i="2"/>
  <c r="G8" i="2" s="1"/>
  <c r="E20" i="2"/>
  <c r="F20" i="2" s="1"/>
  <c r="E160" i="2"/>
  <c r="G160" i="2" s="1"/>
  <c r="D59" i="4"/>
  <c r="D9" i="4"/>
  <c r="D6" i="4"/>
  <c r="E29" i="2"/>
  <c r="G29" i="2" s="1"/>
  <c r="E111" i="2"/>
  <c r="F111" i="2" s="1"/>
  <c r="D18" i="4"/>
  <c r="E31" i="2"/>
  <c r="G31" i="2" s="1"/>
  <c r="E18" i="2"/>
  <c r="G18" i="2" s="1"/>
  <c r="D60" i="4"/>
  <c r="D62" i="4"/>
  <c r="E58" i="2"/>
  <c r="G58" i="2" s="1"/>
  <c r="E115" i="2"/>
  <c r="G115" i="2" s="1"/>
  <c r="E67" i="2"/>
  <c r="G67" i="2" s="1"/>
  <c r="E98" i="2"/>
  <c r="F98" i="2" s="1"/>
  <c r="E142" i="2"/>
  <c r="G142" i="2" s="1"/>
  <c r="E96" i="2"/>
  <c r="F96" i="2" s="1"/>
  <c r="E193" i="2"/>
  <c r="G193" i="2" s="1"/>
  <c r="E197" i="2"/>
  <c r="G197" i="2" s="1"/>
  <c r="E164" i="2"/>
  <c r="G164" i="2" s="1"/>
  <c r="E168" i="2"/>
  <c r="G168" i="2" s="1"/>
  <c r="E176" i="2"/>
  <c r="F176" i="2" s="1"/>
  <c r="E21" i="3"/>
  <c r="E22" i="3" s="1"/>
  <c r="D33" i="4"/>
  <c r="D36" i="4"/>
  <c r="E85" i="2"/>
  <c r="E114" i="2"/>
  <c r="G114" i="2" s="1"/>
  <c r="D15" i="4"/>
  <c r="E47" i="2"/>
  <c r="G47" i="2" s="1"/>
  <c r="E186" i="2"/>
  <c r="G186" i="2" s="1"/>
  <c r="G21" i="3"/>
  <c r="G22" i="3" s="1"/>
  <c r="G29" i="3" s="1"/>
  <c r="E43" i="2"/>
  <c r="G43" i="2" s="1"/>
  <c r="E82" i="2"/>
  <c r="G82" i="2" s="1"/>
  <c r="E61" i="2"/>
  <c r="G61" i="2" s="1"/>
  <c r="D35" i="4"/>
  <c r="E15" i="2"/>
  <c r="G15" i="2" s="1"/>
  <c r="E94" i="2"/>
  <c r="G94" i="2" s="1"/>
  <c r="E146" i="2"/>
  <c r="F146" i="2" s="1"/>
  <c r="E191" i="2"/>
  <c r="G191" i="2" s="1"/>
  <c r="E195" i="2"/>
  <c r="G195" i="2" s="1"/>
  <c r="E199" i="2"/>
  <c r="G199" i="2" s="1"/>
  <c r="E203" i="2"/>
  <c r="G203" i="2" s="1"/>
  <c r="D32" i="4"/>
  <c r="E32" i="2"/>
  <c r="G32" i="2" s="1"/>
  <c r="E162" i="2"/>
  <c r="G162" i="2" s="1"/>
  <c r="E166" i="2"/>
  <c r="G166" i="2" s="1"/>
  <c r="E174" i="2"/>
  <c r="G174" i="2" s="1"/>
  <c r="E178" i="2"/>
  <c r="G178" i="2" s="1"/>
  <c r="E69" i="2"/>
  <c r="G69" i="2" s="1"/>
  <c r="E109" i="2"/>
  <c r="G109" i="2" s="1"/>
  <c r="E119" i="2"/>
  <c r="G119" i="2" s="1"/>
  <c r="E100" i="2"/>
  <c r="G100" i="2" s="1"/>
  <c r="E113" i="2"/>
  <c r="G113" i="2" s="1"/>
  <c r="E194" i="2"/>
  <c r="F194" i="2" s="1"/>
  <c r="E198" i="2"/>
  <c r="F198" i="2" s="1"/>
  <c r="E116" i="2"/>
  <c r="G116" i="2" s="1"/>
  <c r="E136" i="2"/>
  <c r="G136" i="2" s="1"/>
  <c r="E143" i="2"/>
  <c r="G143" i="2" s="1"/>
  <c r="E41" i="2"/>
  <c r="G41" i="2" s="1"/>
  <c r="E35" i="2"/>
  <c r="G35" i="2" s="1"/>
  <c r="E46" i="2"/>
  <c r="G46" i="2" s="1"/>
  <c r="E89" i="2"/>
  <c r="F89" i="2" s="1"/>
  <c r="E141" i="2"/>
  <c r="G141" i="2" s="1"/>
  <c r="E202" i="2"/>
  <c r="G202" i="2" s="1"/>
  <c r="F21" i="3"/>
  <c r="F22" i="3" s="1"/>
  <c r="E70" i="2"/>
  <c r="F70" i="2" s="1"/>
  <c r="E72" i="2"/>
  <c r="G72" i="2" s="1"/>
  <c r="E12" i="2"/>
  <c r="G12" i="2" s="1"/>
  <c r="E16" i="2"/>
  <c r="G16" i="2" s="1"/>
  <c r="E39" i="2"/>
  <c r="G39" i="2" s="1"/>
  <c r="E110" i="2"/>
  <c r="F110" i="2" s="1"/>
  <c r="E117" i="2"/>
  <c r="F117" i="2" s="1"/>
  <c r="E187" i="2"/>
  <c r="G187" i="2" s="1"/>
  <c r="E121" i="2"/>
  <c r="F121" i="2" s="1"/>
  <c r="E137" i="2"/>
  <c r="G137" i="2" s="1"/>
  <c r="E9" i="2"/>
  <c r="E86" i="2"/>
  <c r="F86" i="2" s="1"/>
  <c r="E90" i="2"/>
  <c r="G90" i="2" s="1"/>
  <c r="E149" i="2"/>
  <c r="G149" i="2" s="1"/>
  <c r="D52" i="4"/>
  <c r="E145" i="2"/>
  <c r="G145" i="2" s="1"/>
  <c r="E13" i="2"/>
  <c r="G13" i="2" s="1"/>
  <c r="E40" i="2"/>
  <c r="G40" i="2" s="1"/>
  <c r="E71" i="2"/>
  <c r="G71" i="2" s="1"/>
  <c r="E118" i="2"/>
  <c r="G118" i="2" s="1"/>
  <c r="E135" i="2"/>
  <c r="G135" i="2" s="1"/>
  <c r="E188" i="2"/>
  <c r="G188" i="2" s="1"/>
  <c r="E192" i="2"/>
  <c r="G192" i="2" s="1"/>
  <c r="E196" i="2"/>
  <c r="G196" i="2" s="1"/>
  <c r="E125" i="2"/>
  <c r="G125" i="2" s="1"/>
  <c r="E148" i="2"/>
  <c r="G148" i="2" s="1"/>
  <c r="E4" i="2"/>
  <c r="G4" i="2" s="1"/>
  <c r="E44" i="2"/>
  <c r="D14" i="4"/>
  <c r="D17" i="4"/>
  <c r="E3" i="2"/>
  <c r="G3" i="2" s="1"/>
  <c r="E33" i="2"/>
  <c r="G33" i="2" s="1"/>
  <c r="E57" i="2"/>
  <c r="G57" i="2" s="1"/>
  <c r="E91" i="2"/>
  <c r="G91" i="2" s="1"/>
  <c r="E123" i="2"/>
  <c r="G123" i="2" s="1"/>
  <c r="E200" i="2"/>
  <c r="G200" i="2" s="1"/>
  <c r="E122" i="2"/>
  <c r="F122" i="2" s="1"/>
  <c r="D23" i="4"/>
  <c r="D26" i="4"/>
  <c r="D63" i="4"/>
  <c r="E6" i="2"/>
  <c r="G6" i="2" s="1"/>
  <c r="E10" i="2"/>
  <c r="G10" i="2" s="1"/>
  <c r="E14" i="2"/>
  <c r="G14" i="2" s="1"/>
  <c r="E60" i="2"/>
  <c r="G60" i="2" s="1"/>
  <c r="E108" i="2"/>
  <c r="G108" i="2" s="1"/>
  <c r="E170" i="2"/>
  <c r="G170" i="2" s="1"/>
  <c r="E189" i="2"/>
  <c r="F189" i="2" s="1"/>
  <c r="E147" i="2"/>
  <c r="G147" i="2" s="1"/>
  <c r="F18" i="2"/>
  <c r="E34" i="2"/>
  <c r="G34" i="2" s="1"/>
  <c r="E37" i="2"/>
  <c r="F37" i="2" s="1"/>
  <c r="E45" i="2"/>
  <c r="G45" i="2" s="1"/>
  <c r="E65" i="2"/>
  <c r="G65" i="2" s="1"/>
  <c r="E88" i="2"/>
  <c r="G88" i="2" s="1"/>
  <c r="E92" i="2"/>
  <c r="G92" i="2" s="1"/>
  <c r="E133" i="2"/>
  <c r="G133" i="2" s="1"/>
  <c r="E185" i="2"/>
  <c r="G185" i="2" s="1"/>
  <c r="E201" i="2"/>
  <c r="G201" i="2" s="1"/>
  <c r="E190" i="2"/>
  <c r="F190" i="2" s="1"/>
  <c r="D21" i="3"/>
  <c r="D22" i="3" s="1"/>
  <c r="F16" i="2"/>
  <c r="F197" i="2"/>
  <c r="D51" i="4"/>
  <c r="D54" i="4"/>
  <c r="E5" i="2"/>
  <c r="G5" i="2" s="1"/>
  <c r="E22" i="2"/>
  <c r="E30" i="2"/>
  <c r="G30" i="2" s="1"/>
  <c r="E42" i="2"/>
  <c r="G42" i="2" s="1"/>
  <c r="E63" i="2"/>
  <c r="G63" i="2" s="1"/>
  <c r="E68" i="2"/>
  <c r="E81" i="2"/>
  <c r="E139" i="2"/>
  <c r="G139" i="2" s="1"/>
  <c r="E144" i="2"/>
  <c r="G144" i="2" s="1"/>
  <c r="E151" i="2"/>
  <c r="G151" i="2" s="1"/>
  <c r="G163" i="2"/>
  <c r="E172" i="2"/>
  <c r="G172" i="2" s="1"/>
  <c r="E177" i="2"/>
  <c r="D69" i="4"/>
  <c r="E175" i="2"/>
  <c r="B11" i="3"/>
  <c r="E99" i="2"/>
  <c r="E173" i="2"/>
  <c r="E55" i="2"/>
  <c r="G55" i="2" s="1"/>
  <c r="D41" i="4"/>
  <c r="D44" i="4"/>
  <c r="D50" i="4"/>
  <c r="D53" i="4"/>
  <c r="E21" i="2"/>
  <c r="E38" i="2"/>
  <c r="E64" i="2"/>
  <c r="E97" i="2"/>
  <c r="E112" i="2"/>
  <c r="G112" i="2" s="1"/>
  <c r="E120" i="2"/>
  <c r="G120" i="2" s="1"/>
  <c r="E140" i="2"/>
  <c r="E152" i="2"/>
  <c r="E171" i="2"/>
  <c r="D72" i="4"/>
  <c r="E66" i="2"/>
  <c r="G66" i="2" s="1"/>
  <c r="E73" i="2"/>
  <c r="G73" i="2" s="1"/>
  <c r="E204" i="2"/>
  <c r="G204" i="2" s="1"/>
  <c r="E59" i="2"/>
  <c r="G59" i="2" s="1"/>
  <c r="E19" i="2"/>
  <c r="E48" i="2"/>
  <c r="G48" i="2" s="1"/>
  <c r="E95" i="2"/>
  <c r="E169" i="2"/>
  <c r="D68" i="4"/>
  <c r="D71" i="4"/>
  <c r="E17" i="2"/>
  <c r="G17" i="2" s="1"/>
  <c r="E36" i="2"/>
  <c r="G36" i="2" s="1"/>
  <c r="E62" i="2"/>
  <c r="E74" i="2"/>
  <c r="E93" i="2"/>
  <c r="E107" i="2"/>
  <c r="E138" i="2"/>
  <c r="G138" i="2" s="1"/>
  <c r="E150" i="2"/>
  <c r="G150" i="2" s="1"/>
  <c r="E167" i="2"/>
  <c r="E126" i="2"/>
  <c r="G126" i="2" s="1"/>
  <c r="E165" i="2"/>
  <c r="H21" i="3"/>
  <c r="H22" i="3" s="1"/>
  <c r="H28" i="3" s="1"/>
  <c r="D24" i="4"/>
  <c r="D27" i="4"/>
  <c r="E11" i="2"/>
  <c r="G11" i="2" s="1"/>
  <c r="E56" i="2"/>
  <c r="G56" i="2" s="1"/>
  <c r="E87" i="2"/>
  <c r="E161" i="2"/>
  <c r="I21" i="3"/>
  <c r="I22" i="3" s="1"/>
  <c r="I27" i="3" s="1"/>
  <c r="E124" i="2"/>
  <c r="G124" i="2" s="1"/>
  <c r="E134" i="2"/>
  <c r="E159" i="2"/>
  <c r="J21" i="3"/>
  <c r="J22" i="3" s="1"/>
  <c r="J28" i="3" s="1"/>
  <c r="D42" i="4"/>
  <c r="D45" i="4"/>
  <c r="E7" i="2"/>
  <c r="G7" i="2" s="1"/>
  <c r="E83" i="2"/>
  <c r="F200" i="2"/>
  <c r="K21" i="3"/>
  <c r="K22" i="3" s="1"/>
  <c r="K29" i="3" s="1"/>
  <c r="F84" i="2" l="1"/>
  <c r="F8" i="2"/>
  <c r="F145" i="2"/>
  <c r="G176" i="2"/>
  <c r="G198" i="2"/>
  <c r="G110" i="2"/>
  <c r="G20" i="2"/>
  <c r="G146" i="2"/>
  <c r="F178" i="2"/>
  <c r="F15" i="2"/>
  <c r="F94" i="2"/>
  <c r="F191" i="2"/>
  <c r="G37" i="2"/>
  <c r="F109" i="2"/>
  <c r="F115" i="2"/>
  <c r="F160" i="2"/>
  <c r="G117" i="2"/>
  <c r="F139" i="2"/>
  <c r="G122" i="2"/>
  <c r="F12" i="2"/>
  <c r="F100" i="2"/>
  <c r="F151" i="2"/>
  <c r="F199" i="2"/>
  <c r="F29" i="2"/>
  <c r="G98" i="2"/>
  <c r="F114" i="2"/>
  <c r="G86" i="2"/>
  <c r="F196" i="2"/>
  <c r="F108" i="2"/>
  <c r="F164" i="2"/>
  <c r="G111" i="2"/>
  <c r="F14" i="2"/>
  <c r="F113" i="2"/>
  <c r="F47" i="2"/>
  <c r="F193" i="2"/>
  <c r="F31" i="2"/>
  <c r="F43" i="2"/>
  <c r="F32" i="2"/>
  <c r="F186" i="2"/>
  <c r="F60" i="2"/>
  <c r="F141" i="2"/>
  <c r="F195" i="2"/>
  <c r="F118" i="2"/>
  <c r="G121" i="2"/>
  <c r="F119" i="2"/>
  <c r="F30" i="3"/>
  <c r="F38" i="3" s="1"/>
  <c r="F29" i="3"/>
  <c r="F37" i="3" s="1"/>
  <c r="G190" i="2"/>
  <c r="F65" i="2"/>
  <c r="F148" i="2"/>
  <c r="F40" i="2"/>
  <c r="G194" i="2"/>
  <c r="F123" i="2"/>
  <c r="F125" i="2"/>
  <c r="F57" i="2"/>
  <c r="F147" i="2"/>
  <c r="F143" i="2"/>
  <c r="G96" i="2"/>
  <c r="F35" i="2"/>
  <c r="F58" i="2"/>
  <c r="F67" i="2"/>
  <c r="F33" i="2"/>
  <c r="F142" i="2"/>
  <c r="F46" i="2"/>
  <c r="G189" i="2"/>
  <c r="F187" i="2"/>
  <c r="E27" i="3"/>
  <c r="E35" i="3" s="1"/>
  <c r="E30" i="3"/>
  <c r="E38" i="3" s="1"/>
  <c r="E26" i="3"/>
  <c r="E34" i="3" s="1"/>
  <c r="G26" i="3"/>
  <c r="G34" i="3" s="1"/>
  <c r="J27" i="3"/>
  <c r="J35" i="3" s="1"/>
  <c r="G89" i="2"/>
  <c r="F185" i="2"/>
  <c r="F92" i="2"/>
  <c r="H30" i="3"/>
  <c r="H38" i="3" s="1"/>
  <c r="J26" i="3"/>
  <c r="J34" i="3" s="1"/>
  <c r="F135" i="2"/>
  <c r="F91" i="2"/>
  <c r="F136" i="2"/>
  <c r="F202" i="2"/>
  <c r="F61" i="2"/>
  <c r="F133" i="2"/>
  <c r="F174" i="2"/>
  <c r="F162" i="2"/>
  <c r="F4" i="2"/>
  <c r="F85" i="2"/>
  <c r="G85" i="2"/>
  <c r="F82" i="2"/>
  <c r="F203" i="2"/>
  <c r="F168" i="2"/>
  <c r="I28" i="3"/>
  <c r="I36" i="3" s="1"/>
  <c r="F69" i="2"/>
  <c r="F71" i="2"/>
  <c r="F137" i="2"/>
  <c r="F166" i="2"/>
  <c r="F13" i="2"/>
  <c r="D27" i="3"/>
  <c r="D35" i="3" s="1"/>
  <c r="D29" i="3"/>
  <c r="D37" i="3" s="1"/>
  <c r="D30" i="3"/>
  <c r="D38" i="3" s="1"/>
  <c r="D28" i="3"/>
  <c r="D36" i="3" s="1"/>
  <c r="D26" i="3"/>
  <c r="D34" i="3" s="1"/>
  <c r="F63" i="2"/>
  <c r="F149" i="2"/>
  <c r="F10" i="2"/>
  <c r="F6" i="2"/>
  <c r="F88" i="2"/>
  <c r="J30" i="3"/>
  <c r="J38" i="3" s="1"/>
  <c r="K26" i="3"/>
  <c r="K34" i="3" s="1"/>
  <c r="H29" i="3"/>
  <c r="H37" i="3" s="1"/>
  <c r="F3" i="2"/>
  <c r="G9" i="2"/>
  <c r="F9" i="2"/>
  <c r="F34" i="2"/>
  <c r="F26" i="3"/>
  <c r="F34" i="3" s="1"/>
  <c r="H27" i="3"/>
  <c r="H35" i="3" s="1"/>
  <c r="G28" i="3"/>
  <c r="G36" i="3" s="1"/>
  <c r="F39" i="2"/>
  <c r="F27" i="3"/>
  <c r="F35" i="3" s="1"/>
  <c r="I29" i="3"/>
  <c r="I37" i="3" s="1"/>
  <c r="F48" i="2"/>
  <c r="F41" i="2"/>
  <c r="J29" i="3"/>
  <c r="J37" i="3" s="1"/>
  <c r="F188" i="2"/>
  <c r="G44" i="2"/>
  <c r="F44" i="2"/>
  <c r="F201" i="2"/>
  <c r="F28" i="3"/>
  <c r="F36" i="3" s="1"/>
  <c r="G30" i="3"/>
  <c r="G38" i="3" s="1"/>
  <c r="F66" i="2"/>
  <c r="G27" i="3"/>
  <c r="G35" i="3" s="1"/>
  <c r="H26" i="3"/>
  <c r="H34" i="3" s="1"/>
  <c r="K28" i="3"/>
  <c r="K36" i="3" s="1"/>
  <c r="F120" i="2"/>
  <c r="F170" i="2"/>
  <c r="F144" i="2"/>
  <c r="F90" i="2"/>
  <c r="K30" i="3"/>
  <c r="K38" i="3" s="1"/>
  <c r="I30" i="3"/>
  <c r="I38" i="3" s="1"/>
  <c r="I26" i="3"/>
  <c r="I34" i="3" s="1"/>
  <c r="F112" i="2"/>
  <c r="F116" i="2"/>
  <c r="F192" i="2"/>
  <c r="F138" i="2"/>
  <c r="G70" i="2"/>
  <c r="F72" i="2"/>
  <c r="E29" i="3"/>
  <c r="E37" i="3" s="1"/>
  <c r="E28" i="3"/>
  <c r="E36" i="3" s="1"/>
  <c r="F45" i="2"/>
  <c r="K27" i="3"/>
  <c r="K35" i="3" s="1"/>
  <c r="G87" i="2"/>
  <c r="F87" i="2"/>
  <c r="H41" i="4"/>
  <c r="H44" i="4" s="1"/>
  <c r="H36" i="3"/>
  <c r="H5" i="4"/>
  <c r="H8" i="4" s="1"/>
  <c r="F134" i="2"/>
  <c r="G134" i="2"/>
  <c r="G171" i="2"/>
  <c r="F171" i="2"/>
  <c r="H23" i="4"/>
  <c r="H26" i="4" s="1"/>
  <c r="G140" i="2"/>
  <c r="F140" i="2"/>
  <c r="G175" i="2"/>
  <c r="F175" i="2"/>
  <c r="F22" i="2"/>
  <c r="G22" i="2"/>
  <c r="F150" i="2"/>
  <c r="G152" i="2"/>
  <c r="F152" i="2"/>
  <c r="G99" i="2"/>
  <c r="F99" i="2"/>
  <c r="F7" i="2"/>
  <c r="F56" i="2"/>
  <c r="H14" i="4"/>
  <c r="H17" i="4" s="1"/>
  <c r="F124" i="2"/>
  <c r="F55" i="2"/>
  <c r="F30" i="2"/>
  <c r="F36" i="2"/>
  <c r="F42" i="2"/>
  <c r="I35" i="3"/>
  <c r="H50" i="4"/>
  <c r="H53" i="4" s="1"/>
  <c r="F204" i="2"/>
  <c r="G64" i="2"/>
  <c r="F64" i="2"/>
  <c r="G177" i="2"/>
  <c r="F177" i="2"/>
  <c r="F5" i="2"/>
  <c r="F11" i="2"/>
  <c r="G83" i="2"/>
  <c r="F83" i="2"/>
  <c r="G165" i="2"/>
  <c r="F165" i="2"/>
  <c r="G107" i="2"/>
  <c r="F107" i="2"/>
  <c r="G169" i="2"/>
  <c r="F169" i="2"/>
  <c r="G38" i="2"/>
  <c r="F38" i="2"/>
  <c r="G19" i="2"/>
  <c r="F19" i="2"/>
  <c r="G167" i="2"/>
  <c r="F167" i="2"/>
  <c r="G161" i="2"/>
  <c r="F161" i="2"/>
  <c r="G97" i="2"/>
  <c r="F97" i="2"/>
  <c r="F126" i="2"/>
  <c r="G93" i="2"/>
  <c r="F93" i="2"/>
  <c r="G21" i="2"/>
  <c r="F21" i="2"/>
  <c r="G37" i="3"/>
  <c r="H32" i="4"/>
  <c r="H35" i="4" s="1"/>
  <c r="F172" i="2"/>
  <c r="K37" i="3"/>
  <c r="H68" i="4"/>
  <c r="H71" i="4" s="1"/>
  <c r="G74" i="2"/>
  <c r="F74" i="2"/>
  <c r="G95" i="2"/>
  <c r="F95" i="2"/>
  <c r="G173" i="2"/>
  <c r="F173" i="2"/>
  <c r="F81" i="2"/>
  <c r="G81" i="2"/>
  <c r="F59" i="2"/>
  <c r="J36" i="3"/>
  <c r="H59" i="4"/>
  <c r="H62" i="4" s="1"/>
  <c r="F159" i="2"/>
  <c r="G159" i="2"/>
  <c r="G62" i="2"/>
  <c r="F62" i="2"/>
  <c r="F73" i="2"/>
  <c r="G68" i="2"/>
  <c r="F68" i="2"/>
  <c r="F17" i="2"/>
  <c r="G40" i="3" l="1"/>
  <c r="J40" i="3"/>
  <c r="K40" i="3"/>
  <c r="B205" i="2"/>
  <c r="B207" i="2" s="1"/>
  <c r="D40" i="3"/>
  <c r="E40" i="3"/>
  <c r="I40" i="3"/>
  <c r="B153" i="2"/>
  <c r="B155" i="2" s="1"/>
  <c r="B49" i="2"/>
  <c r="B51" i="2" s="1"/>
  <c r="B23" i="2"/>
  <c r="B25" i="2" s="1"/>
  <c r="F40" i="3"/>
  <c r="H40" i="3"/>
  <c r="H11" i="4"/>
  <c r="H10" i="4"/>
  <c r="B101" i="2"/>
  <c r="B103" i="2" s="1"/>
  <c r="B75" i="2"/>
  <c r="B77" i="2" s="1"/>
  <c r="B127" i="2"/>
  <c r="B129" i="2" s="1"/>
  <c r="H29" i="4"/>
  <c r="H28" i="4"/>
  <c r="H38" i="4"/>
  <c r="H37" i="4"/>
  <c r="B179" i="2"/>
  <c r="B181" i="2" s="1"/>
  <c r="H47" i="4"/>
  <c r="H46" i="4"/>
  <c r="H65" i="4"/>
  <c r="H64" i="4"/>
  <c r="H56" i="4"/>
  <c r="H55" i="4"/>
  <c r="H20" i="4"/>
  <c r="H19" i="4"/>
  <c r="H74" i="4"/>
  <c r="H73" i="4"/>
  <c r="E72" i="4" l="1"/>
  <c r="E71" i="4"/>
  <c r="E70" i="4"/>
  <c r="E69" i="4"/>
  <c r="E68" i="4"/>
  <c r="E60" i="4"/>
  <c r="E59" i="4"/>
  <c r="E63" i="4"/>
  <c r="E61" i="4"/>
  <c r="E62" i="4"/>
  <c r="E54" i="4"/>
  <c r="E53" i="4"/>
  <c r="E52" i="4"/>
  <c r="E51" i="4"/>
  <c r="E50" i="4"/>
  <c r="E45" i="4"/>
  <c r="E43" i="4"/>
  <c r="E44" i="4"/>
  <c r="E41" i="4"/>
  <c r="E42" i="4"/>
  <c r="E36" i="4"/>
  <c r="E35" i="4"/>
  <c r="E34" i="4"/>
  <c r="E33" i="4"/>
  <c r="E32" i="4"/>
  <c r="E27" i="4"/>
  <c r="E23" i="4"/>
  <c r="E26" i="4"/>
  <c r="E25" i="4"/>
  <c r="E24" i="4"/>
  <c r="E16" i="4"/>
  <c r="E18" i="4"/>
  <c r="E15" i="4"/>
  <c r="E14" i="4"/>
  <c r="E17" i="4"/>
  <c r="E9" i="4"/>
  <c r="E8" i="4"/>
  <c r="E7" i="4"/>
  <c r="E6" i="4"/>
  <c r="E5" i="4"/>
</calcChain>
</file>

<file path=xl/sharedStrings.xml><?xml version="1.0" encoding="utf-8"?>
<sst xmlns="http://schemas.openxmlformats.org/spreadsheetml/2006/main" count="487" uniqueCount="137">
  <si>
    <t>No</t>
  </si>
  <si>
    <t>Tahun</t>
  </si>
  <si>
    <t>Kuartal</t>
  </si>
  <si>
    <t>Keterangan</t>
  </si>
  <si>
    <t>ROIC</t>
  </si>
  <si>
    <t>ROA</t>
  </si>
  <si>
    <t>ROE</t>
  </si>
  <si>
    <t>NPM</t>
  </si>
  <si>
    <t>DER</t>
  </si>
  <si>
    <t>TDTC</t>
  </si>
  <si>
    <t>CR</t>
  </si>
  <si>
    <t>FAT</t>
  </si>
  <si>
    <t>Q1</t>
  </si>
  <si>
    <t>Sebelum Merger</t>
  </si>
  <si>
    <t>Q2</t>
  </si>
  <si>
    <t>Q3</t>
  </si>
  <si>
    <t>Q4</t>
  </si>
  <si>
    <t>Sesudah Merger</t>
  </si>
  <si>
    <t>Grand Mean (ȳ..)</t>
  </si>
  <si>
    <t>i</t>
  </si>
  <si>
    <t>xᵢ (urut)</t>
  </si>
  <si>
    <t>Fₙ(y⁻)</t>
  </si>
  <si>
    <t>Fₙ(y)</t>
  </si>
  <si>
    <t>F₀(y)</t>
  </si>
  <si>
    <t>|Fₙ(y)-F₀(y)|</t>
  </si>
  <si>
    <t>|F₀(y)-Fₙ(y⁻)|</t>
  </si>
  <si>
    <t>μ̂ =</t>
  </si>
  <si>
    <t>σ̂ =</t>
  </si>
  <si>
    <t>Dₙ (maks.)</t>
  </si>
  <si>
    <t>D(n=20; α=0,05) kritis</t>
  </si>
  <si>
    <t>(Tabel nilai kritis Kolmogorov-Smirnov standar, n=20, α=0,05)</t>
  </si>
  <si>
    <t>Keputusan</t>
  </si>
  <si>
    <t>Uji Normalitas Kolmogorov-Smirnov — ROA, seluruh data kuartalan (n = 20)</t>
  </si>
  <si>
    <t>Uji Homogenitas Variansi — Prosedur ANOMV (Periode 2021-2025)</t>
  </si>
  <si>
    <t>I (jumlah kelompok)</t>
  </si>
  <si>
    <t>n (observasi/kelompok)</t>
  </si>
  <si>
    <t>N = I x n</t>
  </si>
  <si>
    <t>alpha</t>
  </si>
  <si>
    <t>vi = n-1</t>
  </si>
  <si>
    <t>ve = N-I</t>
  </si>
  <si>
    <t>alpha/(2I)</t>
  </si>
  <si>
    <t>UDLv = F(alpha/(2I); vi,ve)</t>
  </si>
  <si>
    <t>LDLv = 1 / F(alpha/(2I); ve,vi)</t>
  </si>
  <si>
    <t>Variansi Kelompok (si^2)</t>
  </si>
  <si>
    <t>Kelompok (i)</t>
  </si>
  <si>
    <t>n</t>
  </si>
  <si>
    <t>SSE = Sum(n-1)si^2</t>
  </si>
  <si>
    <t>MSE = SSE/(N-I)</t>
  </si>
  <si>
    <t>Statistik Uji Fi = MSE / si^2</t>
  </si>
  <si>
    <t>Keputusan (LDLv &lt;= Fi &lt;= UDLv)</t>
  </si>
  <si>
    <t>Kesimpulan Homogenitas per Rasio</t>
  </si>
  <si>
    <t>Rata-rata Kelompok (ȳᵢ.)</t>
  </si>
  <si>
    <t>Dᵢ = ȳᵢ. - ȳ..</t>
  </si>
  <si>
    <t>Status</t>
  </si>
  <si>
    <t>MSE</t>
  </si>
  <si>
    <t>I</t>
  </si>
  <si>
    <t>N</t>
  </si>
  <si>
    <t>SE(Dᵢ) = sqrt(MSE*(I-1)/N)</t>
  </si>
  <si>
    <t>h(0,05;5;15)  &lt;-- ISI DI SINI</t>
  </si>
  <si>
    <t>UDL = ȳ.. + h*SE(Dᵢ)</t>
  </si>
  <si>
    <t>LDL = ȳ.. - h*SE(Dᵢ)</t>
  </si>
  <si>
    <t>Kelompok
(i)</t>
  </si>
  <si>
    <t>n
(Kuartal)</t>
  </si>
  <si>
    <t>GRAND MEAN  (ȳ..)</t>
  </si>
  <si>
    <t>Uji Normalitas KS - ROIC, seluruh data kuartalan (n = 20)</t>
  </si>
  <si>
    <t>Uji Normalitas KS - ROE, seluruh data kuartalan (n = 20)</t>
  </si>
  <si>
    <t>Uji Normalitas KS - NPM, seluruh data kuartalan (n = 20)</t>
  </si>
  <si>
    <t>Uji Normalitas KS - DER, seluruh data kuartalan (n = 20)</t>
  </si>
  <si>
    <t>Uji Normalitas KS - TDTC, seluruh data kuartalan (n = 20)</t>
  </si>
  <si>
    <t>Uji Normalitas KS - CR, seluruh data kuartalan (n = 20)</t>
  </si>
  <si>
    <t>Uji Normalitas KS - FAT, seluruh data kuartalan (n = 20)</t>
  </si>
  <si>
    <t>Analisis ANOM Kinerja Keuangan</t>
  </si>
  <si>
    <t>Analisis ANOM - ROIC</t>
  </si>
  <si>
    <t>Analisis ANOM - ROA</t>
  </si>
  <si>
    <t>Analisis ANOM - ROE</t>
  </si>
  <si>
    <t>Analisis ANOM - NPM</t>
  </si>
  <si>
    <t>Analisis ANOM - DER</t>
  </si>
  <si>
    <t>Analisis ANOM - TDTC</t>
  </si>
  <si>
    <t>Analisis ANOM - CR</t>
  </si>
  <si>
    <t>Analisis ANOM - FAT</t>
  </si>
  <si>
    <t>INPUT DATA MENTAH LAPORAN KEUANGAN PT XL AXIATA Tbk (EXCL) &amp; PT SMARTFREN TELECOM Tbk (FREN)</t>
  </si>
  <si>
    <t>Sumber: Laporan Keuangan Konsolidasian Teraudit | IDX &amp; Investor Relations | Satuan: Rp Miliar</t>
  </si>
  <si>
    <t>Total Aset
(Rp Miliar)</t>
  </si>
  <si>
    <t>Aset Lancar
(Rp Miliar)</t>
  </si>
  <si>
    <t>Liabilitas
Lancar
(Rp Miliar)</t>
  </si>
  <si>
    <t>Net PP&amp;E
(Aset Tetap Bersih)
(Rp Miliar)</t>
  </si>
  <si>
    <t>Short Term
Debt
(Rp Miliar)</t>
  </si>
  <si>
    <t>Long Term
Debt
(Rp Miliar)</t>
  </si>
  <si>
    <t>Total Ekuitas
(Rp Miliar)</t>
  </si>
  <si>
    <t>EBIT
(Rp Miliar)</t>
  </si>
  <si>
    <t>Pretax
Income
(Rp Miliar)</t>
  </si>
  <si>
    <t>Taxes
(Rp Miliar)</t>
  </si>
  <si>
    <t>Laba Bersih
(Rp Miliar)</t>
  </si>
  <si>
    <t>Total
Pendapatan
(Rp Miliar)</t>
  </si>
  <si>
    <t>Periode
Original</t>
  </si>
  <si>
    <t>Q1'21 Mar 2021</t>
  </si>
  <si>
    <t>Q2'21 Jun 2021</t>
  </si>
  <si>
    <t>Q3'21 Sep 2021</t>
  </si>
  <si>
    <t>Q4'21 Des 2021</t>
  </si>
  <si>
    <t>Q1'22 Mar 2022</t>
  </si>
  <si>
    <t>Q2'22 Jun 2022</t>
  </si>
  <si>
    <t>Q3'22 Sep 2022</t>
  </si>
  <si>
    <t>Q4'22 Des 2022</t>
  </si>
  <si>
    <t>Q1'23 Mar 2023</t>
  </si>
  <si>
    <t>Q2'23 Jun 2023</t>
  </si>
  <si>
    <t>Q3'23 Sep 2023</t>
  </si>
  <si>
    <t>Q4'23 Des 2023</t>
  </si>
  <si>
    <t>Q1'24 Mar 2024</t>
  </si>
  <si>
    <t>Q2'24 Jun 2024</t>
  </si>
  <si>
    <t>Q3'24 Sep 2024</t>
  </si>
  <si>
    <t>Q4'24 Des 2024</t>
  </si>
  <si>
    <t>Q1'25 Mar 2025</t>
  </si>
  <si>
    <t>Q2'25 Jun 2025</t>
  </si>
  <si>
    <t>Q3'25 Sep 2025</t>
  </si>
  <si>
    <t>Q4'25 Des 2025</t>
  </si>
  <si>
    <t>TABULASI DATA KEUANGAN (KOMPONEN TURUNAN UNTUK PERHITUNGAN RASIO)</t>
  </si>
  <si>
    <t>Utang
Berbunga
(Rp Miliar)
= Short+Long Debt</t>
  </si>
  <si>
    <t>Invested
Capital
(Rp Miliar)
= Ekuitas+Utg Berbunga</t>
  </si>
  <si>
    <t>Tax Rate
Efektif (%)
= |Taxes|/|Pretax|</t>
  </si>
  <si>
    <t>NOPAT
(Rp Miliar)
= EBIT×(1−TaxRate)</t>
  </si>
  <si>
    <t>Total Aset
(ref)</t>
  </si>
  <si>
    <t>Aset Lancar
(ref)</t>
  </si>
  <si>
    <t>Liabilitas
Lancar (ref)</t>
  </si>
  <si>
    <t>Net PP&amp;E
(ref)</t>
  </si>
  <si>
    <t>Total Ekuitas
(ref)</t>
  </si>
  <si>
    <t>Laba Bersih
(ref)</t>
  </si>
  <si>
    <t>Total
Pendapatan
(ref)</t>
  </si>
  <si>
    <t>PERHITUNGAN RASIO KEUANGAN PER KUARTAL</t>
  </si>
  <si>
    <t>ROIC =
NOPAT /
Inv.Capital × 100</t>
  </si>
  <si>
    <t>ROA =
Laba Bersih /
Total Aset × 100</t>
  </si>
  <si>
    <t>ROE =
Laba Bersih /
Total Ekuitas × 100</t>
  </si>
  <si>
    <t>NPM =
Laba Bersih /
Total Pend. × 100</t>
  </si>
  <si>
    <t>DER =
Total Hutang /
Total Ekuitas × 100</t>
  </si>
  <si>
    <t>TDTC =
Total Hutang /
(Hutang+Ekuitas) × 100</t>
  </si>
  <si>
    <t>CR =
Aset Lancar /
Liab. Lancar</t>
  </si>
  <si>
    <t>FAT =
Total Pend. /
Net PP&amp;E</t>
  </si>
  <si>
    <t>RATA-RATA TAHUNAN RASIO KEUANGAN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</si>
</sst>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17" x14ac:knownFonts="1">
    <font>
      <sz val="11"/>
      <color theme="1"/>
      <name val="Calibri"/>
      <family val="2"/>
      <charset val="1"/>
    </font>
    <font>
      <b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i/>
      <sz val="8"/>
      <color theme="1"/>
      <name val="Times New Roman"/>
      <family val="1"/>
    </font>
    <font>
      <b/>
      <sz val="9"/>
      <color theme="1"/>
      <name val="Times New Roman"/>
      <family val="1"/>
    </font>
    <font>
      <b/>
      <sz val="13"/>
      <color rgb="FF00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b/>
      <sz val="13"/>
      <color rgb="FFFFFFFF"/>
      <name val="Times New Roman"/>
      <family val="1"/>
      <charset val="1"/>
    </font>
    <font>
      <i/>
      <sz val="8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/>
      <top/>
      <bottom style="thin">
        <color rgb="FFAAAAAA"/>
      </bottom>
      <diagonal/>
    </border>
    <border>
      <left/>
      <right/>
      <top/>
      <bottom style="thin">
        <color rgb="FF88888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0" xfId="0" applyFont="1" applyFill="1"/>
    <xf numFmtId="0" fontId="0" fillId="0" borderId="0" xfId="0" applyFont="1" applyFill="1"/>
    <xf numFmtId="0" fontId="4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0" fontId="4" fillId="0" borderId="0" xfId="0" applyFont="1" applyFill="1"/>
    <xf numFmtId="164" fontId="5" fillId="0" borderId="1" xfId="0" applyNumberFormat="1" applyFont="1" applyFill="1" applyBorder="1"/>
    <xf numFmtId="164" fontId="5" fillId="0" borderId="0" xfId="0" applyNumberFormat="1" applyFont="1" applyFill="1"/>
    <xf numFmtId="0" fontId="10" fillId="0" borderId="0" xfId="0" applyFont="1" applyFill="1"/>
    <xf numFmtId="0" fontId="5" fillId="0" borderId="0" xfId="0" applyFont="1" applyFill="1"/>
    <xf numFmtId="164" fontId="4" fillId="0" borderId="0" xfId="0" applyNumberFormat="1" applyFont="1" applyFill="1"/>
    <xf numFmtId="165" fontId="5" fillId="0" borderId="1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 wrapText="1"/>
    </xf>
    <xf numFmtId="0" fontId="11" fillId="0" borderId="0" xfId="0" applyFont="1" applyFill="1"/>
    <xf numFmtId="165" fontId="5" fillId="0" borderId="1" xfId="0" applyNumberFormat="1" applyFont="1" applyFill="1" applyBorder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2" fontId="2" fillId="0" borderId="3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0" xfId="0" applyFont="1"/>
    <xf numFmtId="0" fontId="1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"/>
  <sheetViews>
    <sheetView showGridLines="0" topLeftCell="A45" zoomScaleNormal="100" workbookViewId="0">
      <selection activeCell="A75" sqref="A75:N75"/>
    </sheetView>
  </sheetViews>
  <sheetFormatPr defaultColWidth="8.7109375" defaultRowHeight="15" x14ac:dyDescent="0.25"/>
  <cols>
    <col min="1" max="1" width="5" style="5" customWidth="1"/>
    <col min="2" max="3" width="8" style="5" customWidth="1"/>
    <col min="4" max="4" width="16" style="5" customWidth="1"/>
    <col min="5" max="12" width="12" style="5" customWidth="1"/>
    <col min="13" max="16384" width="8.7109375" style="5"/>
  </cols>
  <sheetData>
    <row r="1" spans="1:18" customFormat="1" ht="27.75" customHeight="1" x14ac:dyDescent="0.25">
      <c r="A1" s="29" t="s">
        <v>80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customFormat="1" ht="15.75" customHeight="1" x14ac:dyDescent="0.25">
      <c r="A2" s="30" t="s">
        <v>81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customFormat="1" ht="42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82</v>
      </c>
      <c r="F3" s="1" t="s">
        <v>83</v>
      </c>
      <c r="G3" s="1" t="s">
        <v>84</v>
      </c>
      <c r="H3" s="1" t="s">
        <v>85</v>
      </c>
      <c r="I3" s="1" t="s">
        <v>86</v>
      </c>
      <c r="J3" s="1" t="s">
        <v>87</v>
      </c>
      <c r="K3" s="1" t="s">
        <v>88</v>
      </c>
      <c r="L3" s="1" t="s">
        <v>89</v>
      </c>
      <c r="M3" s="1" t="s">
        <v>90</v>
      </c>
      <c r="N3" s="1" t="s">
        <v>91</v>
      </c>
      <c r="O3" s="1" t="s">
        <v>92</v>
      </c>
      <c r="P3" s="1" t="s">
        <v>93</v>
      </c>
      <c r="Q3" s="1" t="s">
        <v>94</v>
      </c>
    </row>
    <row r="4" spans="1:18" customFormat="1" ht="15" customHeight="1" x14ac:dyDescent="0.25">
      <c r="A4" s="3">
        <v>1</v>
      </c>
      <c r="B4" s="3">
        <v>2021</v>
      </c>
      <c r="C4" s="3" t="s">
        <v>12</v>
      </c>
      <c r="D4" s="3" t="s">
        <v>13</v>
      </c>
      <c r="E4" s="31">
        <v>65930</v>
      </c>
      <c r="F4" s="31">
        <v>5950</v>
      </c>
      <c r="G4" s="31">
        <v>19290</v>
      </c>
      <c r="H4" s="31">
        <v>47100</v>
      </c>
      <c r="I4" s="31">
        <v>7380</v>
      </c>
      <c r="J4" s="31">
        <v>24870</v>
      </c>
      <c r="K4" s="31">
        <v>19470</v>
      </c>
      <c r="L4" s="31">
        <v>703.55</v>
      </c>
      <c r="M4" s="31">
        <v>389.44</v>
      </c>
      <c r="N4" s="31">
        <v>-68.92</v>
      </c>
      <c r="O4" s="31">
        <v>320.51</v>
      </c>
      <c r="P4" s="31">
        <v>6250</v>
      </c>
      <c r="Q4" s="32" t="s">
        <v>95</v>
      </c>
    </row>
    <row r="5" spans="1:18" customFormat="1" ht="15" customHeight="1" x14ac:dyDescent="0.25">
      <c r="A5" s="3">
        <v>2</v>
      </c>
      <c r="B5" s="3">
        <v>2021</v>
      </c>
      <c r="C5" s="3" t="s">
        <v>14</v>
      </c>
      <c r="D5" s="3" t="s">
        <v>13</v>
      </c>
      <c r="E5" s="31">
        <v>67490</v>
      </c>
      <c r="F5" s="31">
        <v>5850</v>
      </c>
      <c r="G5" s="31">
        <v>18810</v>
      </c>
      <c r="H5" s="31">
        <v>48780</v>
      </c>
      <c r="I5" s="31">
        <v>7090</v>
      </c>
      <c r="J5" s="31">
        <v>26900</v>
      </c>
      <c r="K5" s="31">
        <v>19330</v>
      </c>
      <c r="L5" s="31">
        <v>873.92</v>
      </c>
      <c r="M5" s="31">
        <v>452.84</v>
      </c>
      <c r="N5" s="31">
        <v>-57.4</v>
      </c>
      <c r="O5" s="31">
        <v>395.44</v>
      </c>
      <c r="P5" s="31">
        <v>6730</v>
      </c>
      <c r="Q5" s="32" t="s">
        <v>96</v>
      </c>
    </row>
    <row r="6" spans="1:18" customFormat="1" ht="15" customHeight="1" x14ac:dyDescent="0.25">
      <c r="A6" s="3">
        <v>3</v>
      </c>
      <c r="B6" s="3">
        <v>2021</v>
      </c>
      <c r="C6" s="3" t="s">
        <v>15</v>
      </c>
      <c r="D6" s="3" t="s">
        <v>13</v>
      </c>
      <c r="E6" s="31">
        <v>68590</v>
      </c>
      <c r="F6" s="31">
        <v>6610</v>
      </c>
      <c r="G6" s="31">
        <v>18810</v>
      </c>
      <c r="H6" s="31">
        <v>49100</v>
      </c>
      <c r="I6" s="31">
        <v>6870</v>
      </c>
      <c r="J6" s="31">
        <v>27340</v>
      </c>
      <c r="K6" s="31">
        <v>19820</v>
      </c>
      <c r="L6" s="31">
        <v>921.67</v>
      </c>
      <c r="M6" s="31">
        <v>413.81</v>
      </c>
      <c r="N6" s="31">
        <v>-113.37</v>
      </c>
      <c r="O6" s="31">
        <v>300.44</v>
      </c>
      <c r="P6" s="31">
        <v>6830</v>
      </c>
      <c r="Q6" s="32" t="s">
        <v>97</v>
      </c>
    </row>
    <row r="7" spans="1:18" customFormat="1" ht="15" customHeight="1" x14ac:dyDescent="0.25">
      <c r="A7" s="3">
        <v>4</v>
      </c>
      <c r="B7" s="3">
        <v>2021</v>
      </c>
      <c r="C7" s="3" t="s">
        <v>16</v>
      </c>
      <c r="D7" s="3" t="s">
        <v>13</v>
      </c>
      <c r="E7" s="31">
        <v>72750</v>
      </c>
      <c r="F7" s="31">
        <v>7730</v>
      </c>
      <c r="G7" s="31">
        <v>20950</v>
      </c>
      <c r="H7" s="31">
        <v>51910</v>
      </c>
      <c r="I7" s="31">
        <v>6280</v>
      </c>
      <c r="J7" s="31">
        <v>27740</v>
      </c>
      <c r="K7" s="31">
        <v>20090</v>
      </c>
      <c r="L7" s="31">
        <v>831.46</v>
      </c>
      <c r="M7" s="31">
        <v>451.41</v>
      </c>
      <c r="N7" s="31">
        <v>-180.01</v>
      </c>
      <c r="O7" s="31">
        <v>271.39999999999998</v>
      </c>
      <c r="P7" s="31">
        <v>6950</v>
      </c>
      <c r="Q7" s="32" t="s">
        <v>98</v>
      </c>
    </row>
    <row r="8" spans="1:18" customFormat="1" ht="15" customHeight="1" x14ac:dyDescent="0.25">
      <c r="A8" s="3">
        <v>5</v>
      </c>
      <c r="B8" s="3">
        <v>2022</v>
      </c>
      <c r="C8" s="3" t="s">
        <v>12</v>
      </c>
      <c r="D8" s="3" t="s">
        <v>13</v>
      </c>
      <c r="E8" s="31">
        <v>71840</v>
      </c>
      <c r="F8" s="31">
        <v>6200</v>
      </c>
      <c r="G8" s="31">
        <v>21430</v>
      </c>
      <c r="H8" s="31">
        <v>52610</v>
      </c>
      <c r="I8" s="31">
        <v>7890</v>
      </c>
      <c r="J8" s="31">
        <v>27900</v>
      </c>
      <c r="K8" s="31">
        <v>20240</v>
      </c>
      <c r="L8" s="31">
        <v>613.04</v>
      </c>
      <c r="M8" s="31">
        <v>172.22</v>
      </c>
      <c r="N8" s="31">
        <v>-33.119999999999997</v>
      </c>
      <c r="O8" s="31">
        <v>139.09</v>
      </c>
      <c r="P8" s="31">
        <v>6740</v>
      </c>
      <c r="Q8" s="32" t="s">
        <v>99</v>
      </c>
    </row>
    <row r="9" spans="1:18" customFormat="1" ht="15" customHeight="1" x14ac:dyDescent="0.25">
      <c r="A9" s="3">
        <v>6</v>
      </c>
      <c r="B9" s="3">
        <v>2022</v>
      </c>
      <c r="C9" s="3" t="s">
        <v>14</v>
      </c>
      <c r="D9" s="3" t="s">
        <v>13</v>
      </c>
      <c r="E9" s="31">
        <v>76420</v>
      </c>
      <c r="F9" s="31">
        <v>5920</v>
      </c>
      <c r="G9" s="31">
        <v>22700</v>
      </c>
      <c r="H9" s="31">
        <v>54010</v>
      </c>
      <c r="I9" s="31">
        <v>8700</v>
      </c>
      <c r="J9" s="31">
        <v>31160</v>
      </c>
      <c r="K9" s="31">
        <v>20340</v>
      </c>
      <c r="L9" s="31">
        <v>1020</v>
      </c>
      <c r="M9" s="31">
        <v>555.87</v>
      </c>
      <c r="N9" s="31">
        <v>-77.95</v>
      </c>
      <c r="O9" s="31">
        <v>475.82</v>
      </c>
      <c r="P9" s="31">
        <v>7330</v>
      </c>
      <c r="Q9" s="32" t="s">
        <v>100</v>
      </c>
    </row>
    <row r="10" spans="1:18" customFormat="1" ht="15" customHeight="1" x14ac:dyDescent="0.25">
      <c r="A10" s="3">
        <v>7</v>
      </c>
      <c r="B10" s="3">
        <v>2022</v>
      </c>
      <c r="C10" s="3" t="s">
        <v>15</v>
      </c>
      <c r="D10" s="3" t="s">
        <v>13</v>
      </c>
      <c r="E10" s="31">
        <v>81680</v>
      </c>
      <c r="F10" s="31">
        <v>8960</v>
      </c>
      <c r="G10" s="31">
        <v>25060</v>
      </c>
      <c r="H10" s="31">
        <v>56180</v>
      </c>
      <c r="I10" s="31">
        <v>10520</v>
      </c>
      <c r="J10" s="31">
        <v>33750</v>
      </c>
      <c r="K10" s="31">
        <v>20710</v>
      </c>
      <c r="L10" s="31">
        <v>3.04</v>
      </c>
      <c r="M10" s="31">
        <v>2.2200000000000002</v>
      </c>
      <c r="N10" s="31">
        <v>3.12</v>
      </c>
      <c r="O10" s="31">
        <v>9.09</v>
      </c>
      <c r="P10" s="31">
        <v>6740</v>
      </c>
      <c r="Q10" s="32" t="s">
        <v>101</v>
      </c>
    </row>
    <row r="11" spans="1:18" customFormat="1" ht="15" customHeight="1" x14ac:dyDescent="0.25">
      <c r="A11" s="3">
        <v>8</v>
      </c>
      <c r="B11" s="3">
        <v>2022</v>
      </c>
      <c r="C11" s="3" t="s">
        <v>16</v>
      </c>
      <c r="D11" s="3" t="s">
        <v>13</v>
      </c>
      <c r="E11" s="31">
        <v>87280</v>
      </c>
      <c r="F11" s="31">
        <v>10410</v>
      </c>
      <c r="G11" s="31">
        <v>26350</v>
      </c>
      <c r="H11" s="31">
        <v>60470</v>
      </c>
      <c r="I11" s="31">
        <v>10920</v>
      </c>
      <c r="J11" s="31">
        <v>33040</v>
      </c>
      <c r="K11" s="31">
        <v>25770</v>
      </c>
      <c r="L11" s="31">
        <v>1020</v>
      </c>
      <c r="M11" s="31">
        <v>555.87</v>
      </c>
      <c r="N11" s="31">
        <v>-77.95</v>
      </c>
      <c r="O11" s="31">
        <v>475.82</v>
      </c>
      <c r="P11" s="31">
        <v>7350</v>
      </c>
      <c r="Q11" s="32" t="s">
        <v>102</v>
      </c>
    </row>
    <row r="12" spans="1:18" customFormat="1" ht="15" customHeight="1" x14ac:dyDescent="0.25">
      <c r="A12" s="3">
        <v>9</v>
      </c>
      <c r="B12" s="3">
        <v>2023</v>
      </c>
      <c r="C12" s="3" t="s">
        <v>12</v>
      </c>
      <c r="D12" s="3" t="s">
        <v>13</v>
      </c>
      <c r="E12" s="31">
        <v>83730</v>
      </c>
      <c r="F12" s="31">
        <v>6880</v>
      </c>
      <c r="G12" s="31">
        <v>24940</v>
      </c>
      <c r="H12" s="31">
        <v>60170</v>
      </c>
      <c r="I12" s="31">
        <v>10090</v>
      </c>
      <c r="J12" s="31">
        <v>30710</v>
      </c>
      <c r="K12" s="31">
        <v>25970</v>
      </c>
      <c r="L12" s="31">
        <v>1060</v>
      </c>
      <c r="M12" s="31">
        <v>465.35</v>
      </c>
      <c r="N12" s="31">
        <v>-93.59</v>
      </c>
      <c r="O12" s="31">
        <v>366.29</v>
      </c>
      <c r="P12" s="31">
        <v>7520</v>
      </c>
      <c r="Q12" s="32" t="s">
        <v>103</v>
      </c>
    </row>
    <row r="13" spans="1:18" customFormat="1" ht="15" customHeight="1" x14ac:dyDescent="0.25">
      <c r="A13" s="3">
        <v>10</v>
      </c>
      <c r="B13" s="3">
        <v>2023</v>
      </c>
      <c r="C13" s="3" t="s">
        <v>14</v>
      </c>
      <c r="D13" s="3" t="s">
        <v>13</v>
      </c>
      <c r="E13" s="31">
        <v>83690</v>
      </c>
      <c r="F13" s="31">
        <v>5770</v>
      </c>
      <c r="G13" s="31">
        <v>22970</v>
      </c>
      <c r="H13" s="31">
        <v>61100</v>
      </c>
      <c r="I13" s="31">
        <v>9650</v>
      </c>
      <c r="J13" s="31">
        <v>32820</v>
      </c>
      <c r="K13" s="31">
        <v>25880</v>
      </c>
      <c r="L13" s="31">
        <v>961.93</v>
      </c>
      <c r="M13" s="31">
        <v>159.6</v>
      </c>
      <c r="N13" s="31">
        <v>-27.18</v>
      </c>
      <c r="O13" s="31">
        <v>128.24</v>
      </c>
      <c r="P13" s="31">
        <v>7550</v>
      </c>
      <c r="Q13" s="32" t="s">
        <v>104</v>
      </c>
    </row>
    <row r="14" spans="1:18" customFormat="1" ht="15" customHeight="1" x14ac:dyDescent="0.25">
      <c r="A14" s="3">
        <v>11</v>
      </c>
      <c r="B14" s="3">
        <v>2023</v>
      </c>
      <c r="C14" s="3" t="s">
        <v>15</v>
      </c>
      <c r="D14" s="3" t="s">
        <v>13</v>
      </c>
      <c r="E14" s="31">
        <v>86100</v>
      </c>
      <c r="F14" s="31">
        <v>5450</v>
      </c>
      <c r="G14" s="31">
        <v>21740</v>
      </c>
      <c r="H14" s="31">
        <v>63410</v>
      </c>
      <c r="I14" s="31">
        <v>8050</v>
      </c>
      <c r="J14" s="31">
        <v>36090</v>
      </c>
      <c r="K14" s="31">
        <v>26250</v>
      </c>
      <c r="L14" s="31">
        <v>841.37</v>
      </c>
      <c r="M14" s="31">
        <v>237.78</v>
      </c>
      <c r="N14" s="31">
        <v>-33.6</v>
      </c>
      <c r="O14" s="31">
        <v>200.89</v>
      </c>
      <c r="P14" s="31">
        <v>7550</v>
      </c>
      <c r="Q14" s="32" t="s">
        <v>105</v>
      </c>
    </row>
    <row r="15" spans="1:18" customFormat="1" ht="15" customHeight="1" x14ac:dyDescent="0.25">
      <c r="A15" s="3">
        <v>12</v>
      </c>
      <c r="B15" s="3">
        <v>2023</v>
      </c>
      <c r="C15" s="3" t="s">
        <v>16</v>
      </c>
      <c r="D15" s="3" t="s">
        <v>13</v>
      </c>
      <c r="E15" s="31">
        <v>87690</v>
      </c>
      <c r="F15" s="31">
        <v>7170</v>
      </c>
      <c r="G15" s="31">
        <v>20170</v>
      </c>
      <c r="H15" s="31">
        <v>63900</v>
      </c>
      <c r="I15" s="31">
        <v>6880</v>
      </c>
      <c r="J15" s="31">
        <v>39040</v>
      </c>
      <c r="K15" s="31">
        <v>26470</v>
      </c>
      <c r="L15" s="31">
        <v>1240</v>
      </c>
      <c r="M15" s="31">
        <v>565.55999999999995</v>
      </c>
      <c r="N15" s="31">
        <v>-112.21</v>
      </c>
      <c r="O15" s="31">
        <v>449.79</v>
      </c>
      <c r="P15" s="31">
        <v>8220</v>
      </c>
      <c r="Q15" s="32" t="s">
        <v>106</v>
      </c>
    </row>
    <row r="16" spans="1:18" customFormat="1" ht="15" customHeight="1" x14ac:dyDescent="0.25">
      <c r="A16" s="3">
        <v>13</v>
      </c>
      <c r="B16" s="3">
        <v>2024</v>
      </c>
      <c r="C16" s="3" t="s">
        <v>12</v>
      </c>
      <c r="D16" s="3" t="s">
        <v>13</v>
      </c>
      <c r="E16" s="31">
        <v>97980</v>
      </c>
      <c r="F16" s="31">
        <v>6990</v>
      </c>
      <c r="G16" s="31">
        <v>20250</v>
      </c>
      <c r="H16" s="31">
        <v>64470</v>
      </c>
      <c r="I16" s="31">
        <v>7400</v>
      </c>
      <c r="J16" s="31">
        <v>38650</v>
      </c>
      <c r="K16" s="31">
        <v>27050</v>
      </c>
      <c r="L16" s="31">
        <v>1150</v>
      </c>
      <c r="M16" s="31">
        <v>447.22</v>
      </c>
      <c r="N16" s="31">
        <v>-86.17</v>
      </c>
      <c r="O16" s="31">
        <v>359.92</v>
      </c>
      <c r="P16" s="31">
        <v>8100</v>
      </c>
      <c r="Q16" s="32" t="s">
        <v>107</v>
      </c>
    </row>
    <row r="17" spans="1:18" customFormat="1" ht="15" customHeight="1" x14ac:dyDescent="0.25">
      <c r="A17" s="3">
        <v>14</v>
      </c>
      <c r="B17" s="3">
        <v>2024</v>
      </c>
      <c r="C17" s="3" t="s">
        <v>14</v>
      </c>
      <c r="D17" s="3" t="s">
        <v>13</v>
      </c>
      <c r="E17" s="31">
        <v>86590</v>
      </c>
      <c r="F17" s="31">
        <v>6320</v>
      </c>
      <c r="G17" s="31">
        <v>20610</v>
      </c>
      <c r="H17" s="31">
        <v>64040</v>
      </c>
      <c r="I17" s="31">
        <v>8310</v>
      </c>
      <c r="J17" s="31">
        <v>37140</v>
      </c>
      <c r="K17" s="31">
        <v>26900</v>
      </c>
      <c r="L17" s="31">
        <v>1150</v>
      </c>
      <c r="M17" s="31">
        <v>450.42</v>
      </c>
      <c r="N17" s="31">
        <v>-188.09</v>
      </c>
      <c r="O17" s="31">
        <v>256.98</v>
      </c>
      <c r="P17" s="31">
        <v>8450</v>
      </c>
      <c r="Q17" s="32" t="s">
        <v>108</v>
      </c>
    </row>
    <row r="18" spans="1:18" customFormat="1" ht="15" customHeight="1" x14ac:dyDescent="0.25">
      <c r="A18" s="3">
        <v>15</v>
      </c>
      <c r="B18" s="3">
        <v>2024</v>
      </c>
      <c r="C18" s="3" t="s">
        <v>15</v>
      </c>
      <c r="D18" s="3" t="s">
        <v>13</v>
      </c>
      <c r="E18" s="31">
        <v>85170</v>
      </c>
      <c r="F18" s="31">
        <v>6120</v>
      </c>
      <c r="G18" s="31">
        <v>21020</v>
      </c>
      <c r="H18" s="31">
        <v>62400</v>
      </c>
      <c r="I18" s="31">
        <v>9610</v>
      </c>
      <c r="J18" s="31">
        <v>37030</v>
      </c>
      <c r="K18" s="31">
        <v>25700</v>
      </c>
      <c r="L18" s="31">
        <v>1390</v>
      </c>
      <c r="M18" s="31">
        <v>677.2</v>
      </c>
      <c r="N18" s="31">
        <v>-129.77000000000001</v>
      </c>
      <c r="O18" s="31">
        <v>541.07000000000005</v>
      </c>
      <c r="P18" s="31">
        <v>8440</v>
      </c>
      <c r="Q18" s="32" t="s">
        <v>109</v>
      </c>
    </row>
    <row r="19" spans="1:18" customFormat="1" ht="15" customHeight="1" x14ac:dyDescent="0.25">
      <c r="A19" s="3">
        <v>16</v>
      </c>
      <c r="B19" s="3">
        <v>2024</v>
      </c>
      <c r="C19" s="3" t="s">
        <v>16</v>
      </c>
      <c r="D19" s="3" t="s">
        <v>13</v>
      </c>
      <c r="E19" s="31">
        <v>86180</v>
      </c>
      <c r="F19" s="31">
        <v>8440</v>
      </c>
      <c r="G19" s="31">
        <v>23800</v>
      </c>
      <c r="H19" s="31">
        <v>61030</v>
      </c>
      <c r="I19" s="31">
        <v>9090</v>
      </c>
      <c r="J19" s="31">
        <v>37000</v>
      </c>
      <c r="K19" s="31">
        <v>26220</v>
      </c>
      <c r="L19" s="31">
        <v>1390</v>
      </c>
      <c r="M19" s="31">
        <v>661.14</v>
      </c>
      <c r="N19" s="31">
        <v>-171.4</v>
      </c>
      <c r="O19" s="31">
        <v>485.85</v>
      </c>
      <c r="P19" s="31">
        <v>8610</v>
      </c>
      <c r="Q19" s="32" t="s">
        <v>110</v>
      </c>
    </row>
    <row r="20" spans="1:18" customFormat="1" ht="15" customHeight="1" x14ac:dyDescent="0.25">
      <c r="A20" s="3">
        <v>17</v>
      </c>
      <c r="B20" s="3">
        <v>2025</v>
      </c>
      <c r="C20" s="3" t="s">
        <v>12</v>
      </c>
      <c r="D20" s="2" t="s">
        <v>17</v>
      </c>
      <c r="E20" s="31">
        <v>84840</v>
      </c>
      <c r="F20" s="31">
        <v>8560</v>
      </c>
      <c r="G20" s="31">
        <v>28820</v>
      </c>
      <c r="H20" s="31">
        <v>59580</v>
      </c>
      <c r="I20" s="31">
        <v>11290</v>
      </c>
      <c r="J20" s="31">
        <v>33550</v>
      </c>
      <c r="K20" s="31">
        <v>25490</v>
      </c>
      <c r="L20" s="31">
        <v>1270</v>
      </c>
      <c r="M20" s="31">
        <v>415.6</v>
      </c>
      <c r="N20" s="31">
        <v>-117.83</v>
      </c>
      <c r="O20" s="31">
        <v>291.77</v>
      </c>
      <c r="P20" s="31">
        <v>8310</v>
      </c>
      <c r="Q20" s="32" t="s">
        <v>111</v>
      </c>
    </row>
    <row r="21" spans="1:18" customFormat="1" ht="15" customHeight="1" x14ac:dyDescent="0.25">
      <c r="A21" s="3">
        <v>18</v>
      </c>
      <c r="B21" s="3">
        <v>2025</v>
      </c>
      <c r="C21" s="3" t="s">
        <v>14</v>
      </c>
      <c r="D21" s="2" t="s">
        <v>17</v>
      </c>
      <c r="E21" s="31">
        <v>113430</v>
      </c>
      <c r="F21" s="31">
        <v>11350</v>
      </c>
      <c r="G21" s="31">
        <v>26790</v>
      </c>
      <c r="H21" s="31">
        <v>70100</v>
      </c>
      <c r="I21" s="31">
        <v>14010</v>
      </c>
      <c r="J21" s="31">
        <v>49350</v>
      </c>
      <c r="K21" s="31">
        <v>33380</v>
      </c>
      <c r="L21" s="31">
        <v>1530</v>
      </c>
      <c r="M21" s="31">
        <v>673.29</v>
      </c>
      <c r="N21" s="31">
        <v>-160.59</v>
      </c>
      <c r="O21" s="31">
        <v>502.32</v>
      </c>
      <c r="P21" s="31">
        <v>9030</v>
      </c>
      <c r="Q21" s="32" t="s">
        <v>112</v>
      </c>
    </row>
    <row r="22" spans="1:18" customFormat="1" ht="15" customHeight="1" x14ac:dyDescent="0.25">
      <c r="A22" s="3">
        <v>19</v>
      </c>
      <c r="B22" s="3">
        <v>2025</v>
      </c>
      <c r="C22" s="3" t="s">
        <v>15</v>
      </c>
      <c r="D22" s="2" t="s">
        <v>17</v>
      </c>
      <c r="E22" s="31">
        <v>109820</v>
      </c>
      <c r="F22" s="31">
        <v>11660</v>
      </c>
      <c r="G22" s="31">
        <v>31840</v>
      </c>
      <c r="H22" s="31">
        <v>65940</v>
      </c>
      <c r="I22" s="31">
        <v>11850</v>
      </c>
      <c r="J22" s="31">
        <v>49150</v>
      </c>
      <c r="K22" s="31">
        <v>32000</v>
      </c>
      <c r="L22" s="31">
        <v>1350</v>
      </c>
      <c r="M22" s="31">
        <v>523.15</v>
      </c>
      <c r="N22" s="31">
        <v>-134.91999999999999</v>
      </c>
      <c r="O22" s="31">
        <v>384.56</v>
      </c>
      <c r="P22" s="31">
        <v>8600</v>
      </c>
      <c r="Q22" s="32" t="s">
        <v>113</v>
      </c>
    </row>
    <row r="23" spans="1:18" customFormat="1" ht="15" customHeight="1" x14ac:dyDescent="0.25">
      <c r="A23" s="3">
        <v>20</v>
      </c>
      <c r="B23" s="3">
        <v>2025</v>
      </c>
      <c r="C23" s="3" t="s">
        <v>16</v>
      </c>
      <c r="D23" s="2" t="s">
        <v>17</v>
      </c>
      <c r="E23" s="31">
        <v>115220</v>
      </c>
      <c r="F23" s="31">
        <v>15020</v>
      </c>
      <c r="G23" s="31">
        <v>30450</v>
      </c>
      <c r="H23" s="31">
        <v>66980</v>
      </c>
      <c r="I23" s="31">
        <v>11220</v>
      </c>
      <c r="J23" s="31">
        <v>51610</v>
      </c>
      <c r="K23" s="31">
        <v>30010</v>
      </c>
      <c r="L23" s="31">
        <v>-55.15</v>
      </c>
      <c r="M23" s="31">
        <v>-1860</v>
      </c>
      <c r="N23" s="31">
        <v>258.27999999999997</v>
      </c>
      <c r="O23" s="31">
        <v>-1610</v>
      </c>
      <c r="P23" s="31">
        <v>10490</v>
      </c>
      <c r="Q23" s="32" t="s">
        <v>114</v>
      </c>
    </row>
    <row r="24" spans="1:18" customFormat="1" ht="15.75" customHeight="1" x14ac:dyDescent="0.25"/>
    <row r="25" spans="1:18" customFormat="1" ht="15.75" customHeight="1" x14ac:dyDescent="0.25"/>
    <row r="26" spans="1:18" customFormat="1" ht="16.5" customHeight="1" x14ac:dyDescent="0.25">
      <c r="A26" s="29" t="s">
        <v>115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33"/>
      <c r="R26" s="33"/>
    </row>
    <row r="27" spans="1:18" s="34" customFormat="1" ht="71.25" customHeight="1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116</v>
      </c>
      <c r="F27" s="1" t="s">
        <v>117</v>
      </c>
      <c r="G27" s="1" t="s">
        <v>118</v>
      </c>
      <c r="H27" s="1" t="s">
        <v>119</v>
      </c>
      <c r="I27" s="1" t="s">
        <v>120</v>
      </c>
      <c r="J27" s="1" t="s">
        <v>121</v>
      </c>
      <c r="K27" s="1" t="s">
        <v>122</v>
      </c>
      <c r="L27" s="1" t="s">
        <v>123</v>
      </c>
      <c r="M27" s="1" t="s">
        <v>124</v>
      </c>
      <c r="N27" s="1" t="s">
        <v>125</v>
      </c>
      <c r="O27" s="1" t="s">
        <v>126</v>
      </c>
    </row>
    <row r="28" spans="1:18" customFormat="1" ht="15.75" customHeight="1" x14ac:dyDescent="0.25">
      <c r="A28" s="3">
        <v>1</v>
      </c>
      <c r="B28" s="3">
        <v>2021</v>
      </c>
      <c r="C28" s="3" t="s">
        <v>12</v>
      </c>
      <c r="D28" s="3" t="s">
        <v>13</v>
      </c>
      <c r="E28" s="35">
        <f>I4+J4</f>
        <v>32250</v>
      </c>
      <c r="F28" s="35">
        <f>K4+E28</f>
        <v>51720</v>
      </c>
      <c r="G28" s="35">
        <f>(ABS(N4)/ABS(M4))*100</f>
        <v>17.697206244864422</v>
      </c>
      <c r="H28" s="35">
        <f>L4*(1-G28/100)</f>
        <v>579.04130546425631</v>
      </c>
      <c r="I28" s="35">
        <f t="shared" ref="I28:L47" si="0">E4</f>
        <v>65930</v>
      </c>
      <c r="J28" s="35">
        <f t="shared" si="0"/>
        <v>5950</v>
      </c>
      <c r="K28" s="35">
        <f t="shared" si="0"/>
        <v>19290</v>
      </c>
      <c r="L28" s="35">
        <f t="shared" si="0"/>
        <v>47100</v>
      </c>
      <c r="M28" s="35">
        <f t="shared" ref="M28:M47" si="1">K4</f>
        <v>19470</v>
      </c>
      <c r="N28" s="35">
        <f t="shared" ref="N28:O47" si="2">O4</f>
        <v>320.51</v>
      </c>
      <c r="O28" s="35">
        <f t="shared" si="2"/>
        <v>6250</v>
      </c>
    </row>
    <row r="29" spans="1:18" customFormat="1" ht="15.75" customHeight="1" x14ac:dyDescent="0.25">
      <c r="A29" s="3">
        <v>2</v>
      </c>
      <c r="B29" s="3">
        <v>2021</v>
      </c>
      <c r="C29" s="3" t="s">
        <v>14</v>
      </c>
      <c r="D29" s="3" t="s">
        <v>13</v>
      </c>
      <c r="E29" s="35">
        <f>I5+J5</f>
        <v>33990</v>
      </c>
      <c r="F29" s="35">
        <f>K5+E29</f>
        <v>53320</v>
      </c>
      <c r="G29" s="35">
        <f>(ABS(N5)/ABS(M5))*100</f>
        <v>12.675558696228247</v>
      </c>
      <c r="H29" s="35">
        <f>L5*(1-G29/100)</f>
        <v>763.145757441922</v>
      </c>
      <c r="I29" s="35">
        <f t="shared" si="0"/>
        <v>67490</v>
      </c>
      <c r="J29" s="35">
        <f t="shared" si="0"/>
        <v>5850</v>
      </c>
      <c r="K29" s="35">
        <f t="shared" si="0"/>
        <v>18810</v>
      </c>
      <c r="L29" s="35">
        <f t="shared" si="0"/>
        <v>48780</v>
      </c>
      <c r="M29" s="35">
        <f t="shared" si="1"/>
        <v>19330</v>
      </c>
      <c r="N29" s="35">
        <f t="shared" si="2"/>
        <v>395.44</v>
      </c>
      <c r="O29" s="35">
        <f t="shared" si="2"/>
        <v>6730</v>
      </c>
    </row>
    <row r="30" spans="1:18" customFormat="1" ht="15.75" customHeight="1" x14ac:dyDescent="0.25">
      <c r="A30" s="3">
        <v>3</v>
      </c>
      <c r="B30" s="3">
        <v>2021</v>
      </c>
      <c r="C30" s="3" t="s">
        <v>15</v>
      </c>
      <c r="D30" s="3" t="s">
        <v>13</v>
      </c>
      <c r="E30" s="35">
        <f>I6+J6</f>
        <v>34210</v>
      </c>
      <c r="F30" s="35">
        <f>K6+E30</f>
        <v>54030</v>
      </c>
      <c r="G30" s="35">
        <f>(ABS(N6)/ABS(M6))*100</f>
        <v>27.396631304221746</v>
      </c>
      <c r="H30" s="35">
        <f>L6*(1-G30/100)</f>
        <v>669.16346825837945</v>
      </c>
      <c r="I30" s="35">
        <f t="shared" si="0"/>
        <v>68590</v>
      </c>
      <c r="J30" s="35">
        <f t="shared" si="0"/>
        <v>6610</v>
      </c>
      <c r="K30" s="35">
        <f t="shared" si="0"/>
        <v>18810</v>
      </c>
      <c r="L30" s="35">
        <f t="shared" si="0"/>
        <v>49100</v>
      </c>
      <c r="M30" s="35">
        <f t="shared" si="1"/>
        <v>19820</v>
      </c>
      <c r="N30" s="35">
        <f t="shared" si="2"/>
        <v>300.44</v>
      </c>
      <c r="O30" s="35">
        <f t="shared" si="2"/>
        <v>6830</v>
      </c>
    </row>
    <row r="31" spans="1:18" customFormat="1" ht="15.75" customHeight="1" x14ac:dyDescent="0.25">
      <c r="A31" s="3">
        <v>4</v>
      </c>
      <c r="B31" s="3">
        <v>2021</v>
      </c>
      <c r="C31" s="3" t="s">
        <v>16</v>
      </c>
      <c r="D31" s="3" t="s">
        <v>13</v>
      </c>
      <c r="E31" s="35">
        <f>I7+J7</f>
        <v>34020</v>
      </c>
      <c r="F31" s="35">
        <f>K7+E31</f>
        <v>54110</v>
      </c>
      <c r="G31" s="35">
        <f>(ABS(N7)/ABS(M7))*100</f>
        <v>39.877273432134864</v>
      </c>
      <c r="H31" s="35">
        <f>L7*(1-G31/100)</f>
        <v>499.89642232117149</v>
      </c>
      <c r="I31" s="35">
        <f t="shared" si="0"/>
        <v>72750</v>
      </c>
      <c r="J31" s="35">
        <f t="shared" si="0"/>
        <v>7730</v>
      </c>
      <c r="K31" s="35">
        <f t="shared" si="0"/>
        <v>20950</v>
      </c>
      <c r="L31" s="35">
        <f t="shared" si="0"/>
        <v>51910</v>
      </c>
      <c r="M31" s="35">
        <f t="shared" si="1"/>
        <v>20090</v>
      </c>
      <c r="N31" s="35">
        <f t="shared" si="2"/>
        <v>271.39999999999998</v>
      </c>
      <c r="O31" s="35">
        <f t="shared" si="2"/>
        <v>6950</v>
      </c>
    </row>
    <row r="32" spans="1:18" customFormat="1" ht="15.75" customHeight="1" x14ac:dyDescent="0.25">
      <c r="A32" s="3">
        <v>5</v>
      </c>
      <c r="B32" s="3">
        <v>2022</v>
      </c>
      <c r="C32" s="3" t="s">
        <v>12</v>
      </c>
      <c r="D32" s="3" t="s">
        <v>13</v>
      </c>
      <c r="E32" s="35">
        <f>I8+J8</f>
        <v>35790</v>
      </c>
      <c r="F32" s="35">
        <f>K8+E32</f>
        <v>56030</v>
      </c>
      <c r="G32" s="35">
        <f>(ABS(N8)/ABS(M8))*100</f>
        <v>19.231215886656599</v>
      </c>
      <c r="H32" s="35">
        <f>L8*(1-G32/100)</f>
        <v>495.14495412844036</v>
      </c>
      <c r="I32" s="35">
        <f t="shared" si="0"/>
        <v>71840</v>
      </c>
      <c r="J32" s="35">
        <f t="shared" si="0"/>
        <v>6200</v>
      </c>
      <c r="K32" s="35">
        <f t="shared" si="0"/>
        <v>21430</v>
      </c>
      <c r="L32" s="35">
        <f t="shared" si="0"/>
        <v>52610</v>
      </c>
      <c r="M32" s="35">
        <f t="shared" si="1"/>
        <v>20240</v>
      </c>
      <c r="N32" s="35">
        <f t="shared" si="2"/>
        <v>139.09</v>
      </c>
      <c r="O32" s="35">
        <f t="shared" si="2"/>
        <v>6740</v>
      </c>
    </row>
    <row r="33" spans="1:15" customFormat="1" ht="15.75" customHeight="1" x14ac:dyDescent="0.25">
      <c r="A33" s="3">
        <v>6</v>
      </c>
      <c r="B33" s="3">
        <v>2022</v>
      </c>
      <c r="C33" s="3" t="s">
        <v>14</v>
      </c>
      <c r="D33" s="3" t="s">
        <v>13</v>
      </c>
      <c r="E33" s="35">
        <f>I9+J9</f>
        <v>39860</v>
      </c>
      <c r="F33" s="35">
        <f>K9+E33</f>
        <v>60200</v>
      </c>
      <c r="G33" s="35">
        <f>(ABS(N9)/ABS(M9))*100</f>
        <v>14.023062946372352</v>
      </c>
      <c r="H33" s="35">
        <f>L9*(1-G33/100)</f>
        <v>876.964757947002</v>
      </c>
      <c r="I33" s="35">
        <f t="shared" si="0"/>
        <v>76420</v>
      </c>
      <c r="J33" s="35">
        <f t="shared" si="0"/>
        <v>5920</v>
      </c>
      <c r="K33" s="35">
        <f t="shared" si="0"/>
        <v>22700</v>
      </c>
      <c r="L33" s="35">
        <f t="shared" si="0"/>
        <v>54010</v>
      </c>
      <c r="M33" s="35">
        <f t="shared" si="1"/>
        <v>20340</v>
      </c>
      <c r="N33" s="35">
        <f t="shared" si="2"/>
        <v>475.82</v>
      </c>
      <c r="O33" s="35">
        <f t="shared" si="2"/>
        <v>7330</v>
      </c>
    </row>
    <row r="34" spans="1:15" customFormat="1" ht="15.75" customHeight="1" x14ac:dyDescent="0.25">
      <c r="A34" s="3">
        <v>7</v>
      </c>
      <c r="B34" s="3">
        <v>2022</v>
      </c>
      <c r="C34" s="3" t="s">
        <v>15</v>
      </c>
      <c r="D34" s="3" t="s">
        <v>13</v>
      </c>
      <c r="E34" s="35">
        <f>I10+J10</f>
        <v>44270</v>
      </c>
      <c r="F34" s="35">
        <f>K10+E34</f>
        <v>64980</v>
      </c>
      <c r="G34" s="35">
        <f>(ABS(N10)/ABS(M10))*100</f>
        <v>140.54054054054052</v>
      </c>
      <c r="H34" s="35">
        <f>L10*(1-G34/100)</f>
        <v>-1.2324324324324321</v>
      </c>
      <c r="I34" s="35">
        <f t="shared" si="0"/>
        <v>81680</v>
      </c>
      <c r="J34" s="35">
        <f t="shared" si="0"/>
        <v>8960</v>
      </c>
      <c r="K34" s="35">
        <f t="shared" si="0"/>
        <v>25060</v>
      </c>
      <c r="L34" s="35">
        <f t="shared" si="0"/>
        <v>56180</v>
      </c>
      <c r="M34" s="35">
        <f t="shared" si="1"/>
        <v>20710</v>
      </c>
      <c r="N34" s="35">
        <f t="shared" si="2"/>
        <v>9.09</v>
      </c>
      <c r="O34" s="35">
        <f t="shared" si="2"/>
        <v>6740</v>
      </c>
    </row>
    <row r="35" spans="1:15" customFormat="1" ht="15.75" customHeight="1" x14ac:dyDescent="0.25">
      <c r="A35" s="3">
        <v>8</v>
      </c>
      <c r="B35" s="3">
        <v>2022</v>
      </c>
      <c r="C35" s="3" t="s">
        <v>16</v>
      </c>
      <c r="D35" s="3" t="s">
        <v>13</v>
      </c>
      <c r="E35" s="35">
        <f>I11+J11</f>
        <v>43960</v>
      </c>
      <c r="F35" s="35">
        <f>K11+E35</f>
        <v>69730</v>
      </c>
      <c r="G35" s="35">
        <f>(ABS(N11)/ABS(M11))*100</f>
        <v>14.023062946372352</v>
      </c>
      <c r="H35" s="35">
        <f>L11*(1-G35/100)</f>
        <v>876.964757947002</v>
      </c>
      <c r="I35" s="35">
        <f t="shared" si="0"/>
        <v>87280</v>
      </c>
      <c r="J35" s="35">
        <f t="shared" si="0"/>
        <v>10410</v>
      </c>
      <c r="K35" s="35">
        <f t="shared" si="0"/>
        <v>26350</v>
      </c>
      <c r="L35" s="35">
        <f t="shared" si="0"/>
        <v>60470</v>
      </c>
      <c r="M35" s="35">
        <f t="shared" si="1"/>
        <v>25770</v>
      </c>
      <c r="N35" s="35">
        <f t="shared" si="2"/>
        <v>475.82</v>
      </c>
      <c r="O35" s="35">
        <f t="shared" si="2"/>
        <v>7350</v>
      </c>
    </row>
    <row r="36" spans="1:15" customFormat="1" ht="15.75" customHeight="1" x14ac:dyDescent="0.25">
      <c r="A36" s="3">
        <v>9</v>
      </c>
      <c r="B36" s="3">
        <v>2023</v>
      </c>
      <c r="C36" s="3" t="s">
        <v>12</v>
      </c>
      <c r="D36" s="3" t="s">
        <v>13</v>
      </c>
      <c r="E36" s="35">
        <f>I12+J12</f>
        <v>40800</v>
      </c>
      <c r="F36" s="35">
        <f>K12+E36</f>
        <v>66770</v>
      </c>
      <c r="G36" s="35">
        <f>(ABS(N12)/ABS(M12))*100</f>
        <v>20.111743848716021</v>
      </c>
      <c r="H36" s="35">
        <f>L12*(1-G36/100)</f>
        <v>846.81551520361018</v>
      </c>
      <c r="I36" s="35">
        <f t="shared" si="0"/>
        <v>83730</v>
      </c>
      <c r="J36" s="35">
        <f t="shared" si="0"/>
        <v>6880</v>
      </c>
      <c r="K36" s="35">
        <f t="shared" si="0"/>
        <v>24940</v>
      </c>
      <c r="L36" s="35">
        <f t="shared" si="0"/>
        <v>60170</v>
      </c>
      <c r="M36" s="35">
        <f t="shared" si="1"/>
        <v>25970</v>
      </c>
      <c r="N36" s="35">
        <f t="shared" si="2"/>
        <v>366.29</v>
      </c>
      <c r="O36" s="35">
        <f t="shared" si="2"/>
        <v>7520</v>
      </c>
    </row>
    <row r="37" spans="1:15" customFormat="1" ht="15.75" customHeight="1" x14ac:dyDescent="0.25">
      <c r="A37" s="3">
        <v>10</v>
      </c>
      <c r="B37" s="3">
        <v>2023</v>
      </c>
      <c r="C37" s="3" t="s">
        <v>14</v>
      </c>
      <c r="D37" s="3" t="s">
        <v>13</v>
      </c>
      <c r="E37" s="35">
        <f>I13+J13</f>
        <v>42470</v>
      </c>
      <c r="F37" s="35">
        <f>K13+E37</f>
        <v>68350</v>
      </c>
      <c r="G37" s="35">
        <f>(ABS(N13)/ABS(M13))*100</f>
        <v>17.030075187969924</v>
      </c>
      <c r="H37" s="35">
        <f>L13*(1-G37/100)</f>
        <v>798.11259774436087</v>
      </c>
      <c r="I37" s="35">
        <f t="shared" si="0"/>
        <v>83690</v>
      </c>
      <c r="J37" s="35">
        <f t="shared" si="0"/>
        <v>5770</v>
      </c>
      <c r="K37" s="35">
        <f t="shared" si="0"/>
        <v>22970</v>
      </c>
      <c r="L37" s="35">
        <f t="shared" si="0"/>
        <v>61100</v>
      </c>
      <c r="M37" s="35">
        <f t="shared" si="1"/>
        <v>25880</v>
      </c>
      <c r="N37" s="35">
        <f t="shared" si="2"/>
        <v>128.24</v>
      </c>
      <c r="O37" s="35">
        <f t="shared" si="2"/>
        <v>7550</v>
      </c>
    </row>
    <row r="38" spans="1:15" customFormat="1" ht="15.75" customHeight="1" x14ac:dyDescent="0.25">
      <c r="A38" s="3">
        <v>11</v>
      </c>
      <c r="B38" s="3">
        <v>2023</v>
      </c>
      <c r="C38" s="3" t="s">
        <v>15</v>
      </c>
      <c r="D38" s="3" t="s">
        <v>13</v>
      </c>
      <c r="E38" s="35">
        <f>I14+J14</f>
        <v>44140</v>
      </c>
      <c r="F38" s="35">
        <f>K14+E38</f>
        <v>70390</v>
      </c>
      <c r="G38" s="35">
        <f>(ABS(N14)/ABS(M14))*100</f>
        <v>14.130709058793844</v>
      </c>
      <c r="H38" s="35">
        <f>L14*(1-G38/100)</f>
        <v>722.47845319202622</v>
      </c>
      <c r="I38" s="35">
        <f t="shared" si="0"/>
        <v>86100</v>
      </c>
      <c r="J38" s="35">
        <f t="shared" si="0"/>
        <v>5450</v>
      </c>
      <c r="K38" s="35">
        <f t="shared" si="0"/>
        <v>21740</v>
      </c>
      <c r="L38" s="35">
        <f t="shared" si="0"/>
        <v>63410</v>
      </c>
      <c r="M38" s="35">
        <f t="shared" si="1"/>
        <v>26250</v>
      </c>
      <c r="N38" s="35">
        <f t="shared" si="2"/>
        <v>200.89</v>
      </c>
      <c r="O38" s="35">
        <f t="shared" si="2"/>
        <v>7550</v>
      </c>
    </row>
    <row r="39" spans="1:15" customFormat="1" ht="15.75" customHeight="1" x14ac:dyDescent="0.25">
      <c r="A39" s="3">
        <v>12</v>
      </c>
      <c r="B39" s="3">
        <v>2023</v>
      </c>
      <c r="C39" s="3" t="s">
        <v>16</v>
      </c>
      <c r="D39" s="3" t="s">
        <v>13</v>
      </c>
      <c r="E39" s="35">
        <f>I15+J15</f>
        <v>45920</v>
      </c>
      <c r="F39" s="35">
        <f>K15+E39</f>
        <v>72390</v>
      </c>
      <c r="G39" s="35">
        <f>(ABS(N15)/ABS(M15))*100</f>
        <v>19.840512058844332</v>
      </c>
      <c r="H39" s="35">
        <f>L15*(1-G39/100)</f>
        <v>993.97765047033033</v>
      </c>
      <c r="I39" s="35">
        <f t="shared" si="0"/>
        <v>87690</v>
      </c>
      <c r="J39" s="35">
        <f t="shared" si="0"/>
        <v>7170</v>
      </c>
      <c r="K39" s="35">
        <f t="shared" si="0"/>
        <v>20170</v>
      </c>
      <c r="L39" s="35">
        <f t="shared" si="0"/>
        <v>63900</v>
      </c>
      <c r="M39" s="35">
        <f t="shared" si="1"/>
        <v>26470</v>
      </c>
      <c r="N39" s="35">
        <f t="shared" si="2"/>
        <v>449.79</v>
      </c>
      <c r="O39" s="35">
        <f t="shared" si="2"/>
        <v>8220</v>
      </c>
    </row>
    <row r="40" spans="1:15" customFormat="1" ht="15.75" customHeight="1" x14ac:dyDescent="0.25">
      <c r="A40" s="3">
        <v>13</v>
      </c>
      <c r="B40" s="3">
        <v>2024</v>
      </c>
      <c r="C40" s="3" t="s">
        <v>12</v>
      </c>
      <c r="D40" s="3" t="s">
        <v>13</v>
      </c>
      <c r="E40" s="35">
        <f>I16+J16</f>
        <v>46050</v>
      </c>
      <c r="F40" s="35">
        <f>K16+E40</f>
        <v>73100</v>
      </c>
      <c r="G40" s="35">
        <f>(ABS(N16)/ABS(M16))*100</f>
        <v>19.267921828182995</v>
      </c>
      <c r="H40" s="35">
        <f>L16*(1-G40/100)</f>
        <v>928.41889897589556</v>
      </c>
      <c r="I40" s="35">
        <f t="shared" si="0"/>
        <v>97980</v>
      </c>
      <c r="J40" s="35">
        <f t="shared" si="0"/>
        <v>6990</v>
      </c>
      <c r="K40" s="35">
        <f t="shared" si="0"/>
        <v>20250</v>
      </c>
      <c r="L40" s="35">
        <f t="shared" si="0"/>
        <v>64470</v>
      </c>
      <c r="M40" s="35">
        <f t="shared" si="1"/>
        <v>27050</v>
      </c>
      <c r="N40" s="35">
        <f t="shared" si="2"/>
        <v>359.92</v>
      </c>
      <c r="O40" s="35">
        <f t="shared" si="2"/>
        <v>8100</v>
      </c>
    </row>
    <row r="41" spans="1:15" customFormat="1" ht="15.75" customHeight="1" x14ac:dyDescent="0.25">
      <c r="A41" s="3">
        <v>14</v>
      </c>
      <c r="B41" s="3">
        <v>2024</v>
      </c>
      <c r="C41" s="3" t="s">
        <v>14</v>
      </c>
      <c r="D41" s="3" t="s">
        <v>13</v>
      </c>
      <c r="E41" s="35">
        <f>I17+J17</f>
        <v>45450</v>
      </c>
      <c r="F41" s="35">
        <f>K17+E41</f>
        <v>72350</v>
      </c>
      <c r="G41" s="35">
        <f>(ABS(N17)/ABS(M17))*100</f>
        <v>41.758802895075711</v>
      </c>
      <c r="H41" s="35">
        <f>L17*(1-G41/100)</f>
        <v>669.77376670662932</v>
      </c>
      <c r="I41" s="35">
        <f t="shared" si="0"/>
        <v>86590</v>
      </c>
      <c r="J41" s="35">
        <f t="shared" si="0"/>
        <v>6320</v>
      </c>
      <c r="K41" s="35">
        <f t="shared" si="0"/>
        <v>20610</v>
      </c>
      <c r="L41" s="35">
        <f t="shared" si="0"/>
        <v>64040</v>
      </c>
      <c r="M41" s="35">
        <f t="shared" si="1"/>
        <v>26900</v>
      </c>
      <c r="N41" s="35">
        <f t="shared" si="2"/>
        <v>256.98</v>
      </c>
      <c r="O41" s="35">
        <f t="shared" si="2"/>
        <v>8450</v>
      </c>
    </row>
    <row r="42" spans="1:15" customFormat="1" ht="15.75" customHeight="1" x14ac:dyDescent="0.25">
      <c r="A42" s="3">
        <v>15</v>
      </c>
      <c r="B42" s="3">
        <v>2024</v>
      </c>
      <c r="C42" s="3" t="s">
        <v>15</v>
      </c>
      <c r="D42" s="3" t="s">
        <v>13</v>
      </c>
      <c r="E42" s="35">
        <f>I18+J18</f>
        <v>46640</v>
      </c>
      <c r="F42" s="35">
        <f>K18+E42</f>
        <v>72340</v>
      </c>
      <c r="G42" s="35">
        <f>(ABS(N18)/ABS(M18))*100</f>
        <v>19.162728883638511</v>
      </c>
      <c r="H42" s="35">
        <f>L18*(1-G42/100)</f>
        <v>1123.6380685174247</v>
      </c>
      <c r="I42" s="35">
        <f t="shared" si="0"/>
        <v>85170</v>
      </c>
      <c r="J42" s="35">
        <f t="shared" si="0"/>
        <v>6120</v>
      </c>
      <c r="K42" s="35">
        <f t="shared" si="0"/>
        <v>21020</v>
      </c>
      <c r="L42" s="35">
        <f t="shared" si="0"/>
        <v>62400</v>
      </c>
      <c r="M42" s="35">
        <f t="shared" si="1"/>
        <v>25700</v>
      </c>
      <c r="N42" s="35">
        <f t="shared" si="2"/>
        <v>541.07000000000005</v>
      </c>
      <c r="O42" s="35">
        <f t="shared" si="2"/>
        <v>8440</v>
      </c>
    </row>
    <row r="43" spans="1:15" customFormat="1" ht="15.75" customHeight="1" x14ac:dyDescent="0.25">
      <c r="A43" s="3">
        <v>16</v>
      </c>
      <c r="B43" s="3">
        <v>2024</v>
      </c>
      <c r="C43" s="3" t="s">
        <v>16</v>
      </c>
      <c r="D43" s="3" t="s">
        <v>13</v>
      </c>
      <c r="E43" s="35">
        <f>I19+J19</f>
        <v>46090</v>
      </c>
      <c r="F43" s="35">
        <f>K19+E43</f>
        <v>72310</v>
      </c>
      <c r="G43" s="35">
        <f>(ABS(N19)/ABS(M19))*100</f>
        <v>25.924917566627343</v>
      </c>
      <c r="H43" s="35">
        <f>L19*(1-G43/100)</f>
        <v>1029.64364582388</v>
      </c>
      <c r="I43" s="35">
        <f t="shared" si="0"/>
        <v>86180</v>
      </c>
      <c r="J43" s="35">
        <f t="shared" si="0"/>
        <v>8440</v>
      </c>
      <c r="K43" s="35">
        <f t="shared" si="0"/>
        <v>23800</v>
      </c>
      <c r="L43" s="35">
        <f t="shared" si="0"/>
        <v>61030</v>
      </c>
      <c r="M43" s="35">
        <f t="shared" si="1"/>
        <v>26220</v>
      </c>
      <c r="N43" s="35">
        <f t="shared" si="2"/>
        <v>485.85</v>
      </c>
      <c r="O43" s="35">
        <f t="shared" si="2"/>
        <v>8610</v>
      </c>
    </row>
    <row r="44" spans="1:15" customFormat="1" ht="15.75" customHeight="1" x14ac:dyDescent="0.25">
      <c r="A44" s="3">
        <v>17</v>
      </c>
      <c r="B44" s="3">
        <v>2025</v>
      </c>
      <c r="C44" s="3" t="s">
        <v>12</v>
      </c>
      <c r="D44" s="2" t="s">
        <v>17</v>
      </c>
      <c r="E44" s="35">
        <f>I20+J20</f>
        <v>44840</v>
      </c>
      <c r="F44" s="35">
        <f>K20+E44</f>
        <v>70330</v>
      </c>
      <c r="G44" s="35">
        <f>(ABS(N20)/ABS(M20))*100</f>
        <v>28.351780558229066</v>
      </c>
      <c r="H44" s="35">
        <f>L20*(1-G44/100)</f>
        <v>909.93238691049089</v>
      </c>
      <c r="I44" s="35">
        <f t="shared" si="0"/>
        <v>84840</v>
      </c>
      <c r="J44" s="35">
        <f t="shared" si="0"/>
        <v>8560</v>
      </c>
      <c r="K44" s="35">
        <f t="shared" si="0"/>
        <v>28820</v>
      </c>
      <c r="L44" s="35">
        <f t="shared" si="0"/>
        <v>59580</v>
      </c>
      <c r="M44" s="35">
        <f t="shared" si="1"/>
        <v>25490</v>
      </c>
      <c r="N44" s="35">
        <f t="shared" si="2"/>
        <v>291.77</v>
      </c>
      <c r="O44" s="35">
        <f t="shared" si="2"/>
        <v>8310</v>
      </c>
    </row>
    <row r="45" spans="1:15" customFormat="1" ht="15.75" customHeight="1" x14ac:dyDescent="0.25">
      <c r="A45" s="3">
        <v>18</v>
      </c>
      <c r="B45" s="3">
        <v>2025</v>
      </c>
      <c r="C45" s="3" t="s">
        <v>14</v>
      </c>
      <c r="D45" s="2" t="s">
        <v>17</v>
      </c>
      <c r="E45" s="35">
        <f>I21+J21</f>
        <v>63360</v>
      </c>
      <c r="F45" s="35">
        <f>K21+E45</f>
        <v>96740</v>
      </c>
      <c r="G45" s="35">
        <f>(ABS(N21)/ABS(M21))*100</f>
        <v>23.851534999777215</v>
      </c>
      <c r="H45" s="35">
        <f>L21*(1-G45/100)</f>
        <v>1165.0715145034087</v>
      </c>
      <c r="I45" s="35">
        <f t="shared" si="0"/>
        <v>113430</v>
      </c>
      <c r="J45" s="35">
        <f t="shared" si="0"/>
        <v>11350</v>
      </c>
      <c r="K45" s="35">
        <f t="shared" si="0"/>
        <v>26790</v>
      </c>
      <c r="L45" s="35">
        <f t="shared" si="0"/>
        <v>70100</v>
      </c>
      <c r="M45" s="35">
        <f t="shared" si="1"/>
        <v>33380</v>
      </c>
      <c r="N45" s="35">
        <f t="shared" si="2"/>
        <v>502.32</v>
      </c>
      <c r="O45" s="35">
        <f t="shared" si="2"/>
        <v>9030</v>
      </c>
    </row>
    <row r="46" spans="1:15" customFormat="1" ht="15.75" customHeight="1" x14ac:dyDescent="0.25">
      <c r="A46" s="3">
        <v>19</v>
      </c>
      <c r="B46" s="3">
        <v>2025</v>
      </c>
      <c r="C46" s="3" t="s">
        <v>15</v>
      </c>
      <c r="D46" s="2" t="s">
        <v>17</v>
      </c>
      <c r="E46" s="35">
        <f>I22+J22</f>
        <v>61000</v>
      </c>
      <c r="F46" s="35">
        <f>K22+E46</f>
        <v>93000</v>
      </c>
      <c r="G46" s="35">
        <f>(ABS(N22)/ABS(M22))*100</f>
        <v>25.789926407340154</v>
      </c>
      <c r="H46" s="35">
        <f>L22*(1-G46/100)</f>
        <v>1001.835993500908</v>
      </c>
      <c r="I46" s="35">
        <f t="shared" si="0"/>
        <v>109820</v>
      </c>
      <c r="J46" s="35">
        <f t="shared" si="0"/>
        <v>11660</v>
      </c>
      <c r="K46" s="35">
        <f t="shared" si="0"/>
        <v>31840</v>
      </c>
      <c r="L46" s="35">
        <f t="shared" si="0"/>
        <v>65940</v>
      </c>
      <c r="M46" s="35">
        <f t="shared" si="1"/>
        <v>32000</v>
      </c>
      <c r="N46" s="35">
        <f t="shared" si="2"/>
        <v>384.56</v>
      </c>
      <c r="O46" s="35">
        <f t="shared" si="2"/>
        <v>8600</v>
      </c>
    </row>
    <row r="47" spans="1:15" customFormat="1" ht="15.75" customHeight="1" x14ac:dyDescent="0.25">
      <c r="A47" s="3">
        <v>20</v>
      </c>
      <c r="B47" s="3">
        <v>2025</v>
      </c>
      <c r="C47" s="3" t="s">
        <v>16</v>
      </c>
      <c r="D47" s="2" t="s">
        <v>17</v>
      </c>
      <c r="E47" s="35">
        <f>I23+J23</f>
        <v>62830</v>
      </c>
      <c r="F47" s="35">
        <f>K23+E47</f>
        <v>92840</v>
      </c>
      <c r="G47" s="35">
        <f>(ABS(N23)/ABS(M23))*100</f>
        <v>13.886021505376341</v>
      </c>
      <c r="H47" s="35">
        <f>L23*(1-G47/100)</f>
        <v>-47.491859139784943</v>
      </c>
      <c r="I47" s="35">
        <f t="shared" si="0"/>
        <v>115220</v>
      </c>
      <c r="J47" s="35">
        <f t="shared" si="0"/>
        <v>15020</v>
      </c>
      <c r="K47" s="35">
        <f t="shared" si="0"/>
        <v>30450</v>
      </c>
      <c r="L47" s="35">
        <f t="shared" si="0"/>
        <v>66980</v>
      </c>
      <c r="M47" s="35">
        <f t="shared" si="1"/>
        <v>30010</v>
      </c>
      <c r="N47" s="35">
        <f t="shared" si="2"/>
        <v>-1610</v>
      </c>
      <c r="O47" s="35">
        <f t="shared" si="2"/>
        <v>10490</v>
      </c>
    </row>
    <row r="48" spans="1:15" customFormat="1" ht="15.75" customHeight="1" x14ac:dyDescent="0.25"/>
    <row r="49" spans="1:18" customFormat="1" ht="15.75" customHeight="1" x14ac:dyDescent="0.25"/>
    <row r="50" spans="1:18" customFormat="1" ht="16.5" customHeight="1" x14ac:dyDescent="0.25">
      <c r="A50" s="36" t="s">
        <v>127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3"/>
      <c r="N50" s="33"/>
      <c r="O50" s="33"/>
      <c r="P50" s="33"/>
      <c r="Q50" s="33"/>
      <c r="R50" s="33"/>
    </row>
    <row r="51" spans="1:18" customFormat="1" ht="46.5" customHeight="1" x14ac:dyDescent="0.25">
      <c r="A51" s="37"/>
      <c r="B51" s="37"/>
      <c r="C51" s="37"/>
      <c r="D51" s="37"/>
      <c r="E51" s="37" t="s">
        <v>128</v>
      </c>
      <c r="F51" s="37" t="s">
        <v>129</v>
      </c>
      <c r="G51" s="37" t="s">
        <v>130</v>
      </c>
      <c r="H51" s="37" t="s">
        <v>131</v>
      </c>
      <c r="I51" s="37" t="s">
        <v>132</v>
      </c>
      <c r="J51" s="37" t="s">
        <v>133</v>
      </c>
      <c r="K51" s="37" t="s">
        <v>134</v>
      </c>
      <c r="L51" s="37" t="s">
        <v>135</v>
      </c>
    </row>
    <row r="52" spans="1:18" x14ac:dyDescent="0.25">
      <c r="A52" s="6" t="s">
        <v>0</v>
      </c>
      <c r="B52" s="6" t="s">
        <v>1</v>
      </c>
      <c r="C52" s="6" t="s">
        <v>2</v>
      </c>
      <c r="D52" s="6" t="s">
        <v>3</v>
      </c>
      <c r="E52" s="6" t="s">
        <v>4</v>
      </c>
      <c r="F52" s="6" t="s">
        <v>5</v>
      </c>
      <c r="G52" s="6" t="s">
        <v>6</v>
      </c>
      <c r="H52" s="6" t="s">
        <v>7</v>
      </c>
      <c r="I52" s="6" t="s">
        <v>8</v>
      </c>
      <c r="J52" s="6" t="s">
        <v>9</v>
      </c>
      <c r="K52" s="6" t="s">
        <v>10</v>
      </c>
      <c r="L52" s="6" t="s">
        <v>11</v>
      </c>
    </row>
    <row r="53" spans="1:18" x14ac:dyDescent="0.25">
      <c r="A53" s="7">
        <v>1</v>
      </c>
      <c r="B53" s="7">
        <v>2021</v>
      </c>
      <c r="C53" s="8" t="s">
        <v>12</v>
      </c>
      <c r="D53" s="8" t="s">
        <v>13</v>
      </c>
      <c r="E53" s="9">
        <v>1.1195999999999999</v>
      </c>
      <c r="F53" s="9">
        <v>0.48609999999999998</v>
      </c>
      <c r="G53" s="9">
        <v>1.6462000000000001</v>
      </c>
      <c r="H53" s="9">
        <v>5.1281999999999996</v>
      </c>
      <c r="I53" s="9">
        <v>165.63939999999999</v>
      </c>
      <c r="J53" s="9">
        <v>62.354999999999997</v>
      </c>
      <c r="K53" s="9">
        <v>0.30840000000000001</v>
      </c>
      <c r="L53" s="9">
        <v>0.13270000000000001</v>
      </c>
    </row>
    <row r="54" spans="1:18" x14ac:dyDescent="0.25">
      <c r="A54" s="7">
        <v>2</v>
      </c>
      <c r="B54" s="7">
        <v>2021</v>
      </c>
      <c r="C54" s="8" t="s">
        <v>14</v>
      </c>
      <c r="D54" s="8" t="s">
        <v>13</v>
      </c>
      <c r="E54" s="9">
        <v>1.4313</v>
      </c>
      <c r="F54" s="9">
        <v>0.58589999999999998</v>
      </c>
      <c r="G54" s="9">
        <v>2.0457000000000001</v>
      </c>
      <c r="H54" s="9">
        <v>5.8757999999999999</v>
      </c>
      <c r="I54" s="9">
        <v>175.8407</v>
      </c>
      <c r="J54" s="9">
        <v>63.747199999999999</v>
      </c>
      <c r="K54" s="9">
        <v>0.311</v>
      </c>
      <c r="L54" s="9">
        <v>0.13800000000000001</v>
      </c>
    </row>
    <row r="55" spans="1:18" x14ac:dyDescent="0.25">
      <c r="A55" s="7">
        <v>3</v>
      </c>
      <c r="B55" s="7">
        <v>2021</v>
      </c>
      <c r="C55" s="8" t="s">
        <v>15</v>
      </c>
      <c r="D55" s="8" t="s">
        <v>13</v>
      </c>
      <c r="E55" s="9">
        <v>1.2384999999999999</v>
      </c>
      <c r="F55" s="9">
        <v>0.438</v>
      </c>
      <c r="G55" s="9">
        <v>1.5158</v>
      </c>
      <c r="H55" s="9">
        <v>4.3987999999999996</v>
      </c>
      <c r="I55" s="9">
        <v>172.60339999999999</v>
      </c>
      <c r="J55" s="9">
        <v>63.316699999999997</v>
      </c>
      <c r="K55" s="9">
        <v>0.35139999999999999</v>
      </c>
      <c r="L55" s="9">
        <v>0.1391</v>
      </c>
    </row>
    <row r="56" spans="1:18" x14ac:dyDescent="0.25">
      <c r="A56" s="7">
        <v>4</v>
      </c>
      <c r="B56" s="7">
        <v>2021</v>
      </c>
      <c r="C56" s="8" t="s">
        <v>16</v>
      </c>
      <c r="D56" s="8" t="s">
        <v>13</v>
      </c>
      <c r="E56" s="9">
        <v>0.92390000000000005</v>
      </c>
      <c r="F56" s="9">
        <v>0.37309999999999999</v>
      </c>
      <c r="G56" s="9">
        <v>1.3509</v>
      </c>
      <c r="H56" s="9">
        <v>3.9049999999999998</v>
      </c>
      <c r="I56" s="9">
        <v>169.33799999999999</v>
      </c>
      <c r="J56" s="9">
        <v>62.871899999999997</v>
      </c>
      <c r="K56" s="9">
        <v>0.36899999999999999</v>
      </c>
      <c r="L56" s="9">
        <v>0.13389999999999999</v>
      </c>
    </row>
    <row r="57" spans="1:18" x14ac:dyDescent="0.25">
      <c r="A57" s="7">
        <v>5</v>
      </c>
      <c r="B57" s="7">
        <v>2022</v>
      </c>
      <c r="C57" s="8" t="s">
        <v>12</v>
      </c>
      <c r="D57" s="8" t="s">
        <v>13</v>
      </c>
      <c r="E57" s="9">
        <v>0.88370000000000004</v>
      </c>
      <c r="F57" s="9">
        <v>0.19359999999999999</v>
      </c>
      <c r="G57" s="9">
        <v>0.68720000000000003</v>
      </c>
      <c r="H57" s="9">
        <v>2.0636000000000001</v>
      </c>
      <c r="I57" s="9">
        <v>176.82810000000001</v>
      </c>
      <c r="J57" s="9">
        <v>63.8765</v>
      </c>
      <c r="K57" s="9">
        <v>0.2893</v>
      </c>
      <c r="L57" s="9">
        <v>0.12809999999999999</v>
      </c>
    </row>
    <row r="58" spans="1:18" x14ac:dyDescent="0.25">
      <c r="A58" s="7">
        <v>6</v>
      </c>
      <c r="B58" s="7">
        <v>2022</v>
      </c>
      <c r="C58" s="8" t="s">
        <v>14</v>
      </c>
      <c r="D58" s="8" t="s">
        <v>13</v>
      </c>
      <c r="E58" s="9">
        <v>1.4568000000000001</v>
      </c>
      <c r="F58" s="9">
        <v>0.62260000000000004</v>
      </c>
      <c r="G58" s="9">
        <v>2.3393000000000002</v>
      </c>
      <c r="H58" s="9">
        <v>6.4913999999999996</v>
      </c>
      <c r="I58" s="9">
        <v>195.96850000000001</v>
      </c>
      <c r="J58" s="9">
        <v>66.212599999999995</v>
      </c>
      <c r="K58" s="9">
        <v>0.26079999999999998</v>
      </c>
      <c r="L58" s="9">
        <v>0.13569999999999999</v>
      </c>
    </row>
    <row r="59" spans="1:18" x14ac:dyDescent="0.25">
      <c r="A59" s="7">
        <v>7</v>
      </c>
      <c r="B59" s="7">
        <v>2022</v>
      </c>
      <c r="C59" s="8" t="s">
        <v>15</v>
      </c>
      <c r="D59" s="8" t="s">
        <v>13</v>
      </c>
      <c r="E59" s="9">
        <v>-1.9E-3</v>
      </c>
      <c r="F59" s="9">
        <v>1.11E-2</v>
      </c>
      <c r="G59" s="9">
        <v>4.3900000000000002E-2</v>
      </c>
      <c r="H59" s="9">
        <v>0.13489999999999999</v>
      </c>
      <c r="I59" s="9">
        <v>213.76150000000001</v>
      </c>
      <c r="J59" s="9">
        <v>68.128699999999995</v>
      </c>
      <c r="K59" s="9">
        <v>0.35749999999999998</v>
      </c>
      <c r="L59" s="9">
        <v>0.12</v>
      </c>
    </row>
    <row r="60" spans="1:18" x14ac:dyDescent="0.25">
      <c r="A60" s="7">
        <v>8</v>
      </c>
      <c r="B60" s="7">
        <v>2022</v>
      </c>
      <c r="C60" s="8" t="s">
        <v>16</v>
      </c>
      <c r="D60" s="8" t="s">
        <v>13</v>
      </c>
      <c r="E60" s="9">
        <v>1.2577</v>
      </c>
      <c r="F60" s="9">
        <v>0.54520000000000002</v>
      </c>
      <c r="G60" s="9">
        <v>1.8464</v>
      </c>
      <c r="H60" s="9">
        <v>6.4737</v>
      </c>
      <c r="I60" s="9">
        <v>170.58600000000001</v>
      </c>
      <c r="J60" s="9">
        <v>63.043199999999999</v>
      </c>
      <c r="K60" s="9">
        <v>0.39510000000000001</v>
      </c>
      <c r="L60" s="9">
        <v>0.1215</v>
      </c>
    </row>
    <row r="61" spans="1:18" x14ac:dyDescent="0.25">
      <c r="A61" s="7">
        <v>9</v>
      </c>
      <c r="B61" s="7">
        <v>2023</v>
      </c>
      <c r="C61" s="8" t="s">
        <v>12</v>
      </c>
      <c r="D61" s="8" t="s">
        <v>13</v>
      </c>
      <c r="E61" s="9">
        <v>1.2683</v>
      </c>
      <c r="F61" s="9">
        <v>0.4375</v>
      </c>
      <c r="G61" s="9">
        <v>1.4104000000000001</v>
      </c>
      <c r="H61" s="9">
        <v>4.8708999999999998</v>
      </c>
      <c r="I61" s="9">
        <v>157.1044</v>
      </c>
      <c r="J61" s="9">
        <v>61.1053</v>
      </c>
      <c r="K61" s="9">
        <v>0.27589999999999998</v>
      </c>
      <c r="L61" s="9">
        <v>0.125</v>
      </c>
    </row>
    <row r="62" spans="1:18" x14ac:dyDescent="0.25">
      <c r="A62" s="7">
        <v>10</v>
      </c>
      <c r="B62" s="7">
        <v>2023</v>
      </c>
      <c r="C62" s="8" t="s">
        <v>14</v>
      </c>
      <c r="D62" s="8" t="s">
        <v>13</v>
      </c>
      <c r="E62" s="9">
        <v>1.1677</v>
      </c>
      <c r="F62" s="9">
        <v>0.1532</v>
      </c>
      <c r="G62" s="9">
        <v>0.4955</v>
      </c>
      <c r="H62" s="9">
        <v>1.6984999999999999</v>
      </c>
      <c r="I62" s="9">
        <v>164.1036</v>
      </c>
      <c r="J62" s="9">
        <v>62.136099999999999</v>
      </c>
      <c r="K62" s="9">
        <v>0.25119999999999998</v>
      </c>
      <c r="L62" s="9">
        <v>0.1236</v>
      </c>
    </row>
    <row r="63" spans="1:18" x14ac:dyDescent="0.25">
      <c r="A63" s="7">
        <v>11</v>
      </c>
      <c r="B63" s="7">
        <v>2023</v>
      </c>
      <c r="C63" s="8" t="s">
        <v>15</v>
      </c>
      <c r="D63" s="8" t="s">
        <v>13</v>
      </c>
      <c r="E63" s="9">
        <v>1.0264</v>
      </c>
      <c r="F63" s="9">
        <v>0.23330000000000001</v>
      </c>
      <c r="G63" s="9">
        <v>0.76529999999999998</v>
      </c>
      <c r="H63" s="9">
        <v>2.6608000000000001</v>
      </c>
      <c r="I63" s="9">
        <v>168.1524</v>
      </c>
      <c r="J63" s="9">
        <v>62.707799999999999</v>
      </c>
      <c r="K63" s="9">
        <v>0.25069999999999998</v>
      </c>
      <c r="L63" s="9">
        <v>0.1191</v>
      </c>
    </row>
    <row r="64" spans="1:18" x14ac:dyDescent="0.25">
      <c r="A64" s="7">
        <v>12</v>
      </c>
      <c r="B64" s="7">
        <v>2023</v>
      </c>
      <c r="C64" s="8" t="s">
        <v>16</v>
      </c>
      <c r="D64" s="8" t="s">
        <v>13</v>
      </c>
      <c r="E64" s="9">
        <v>1.3731</v>
      </c>
      <c r="F64" s="9">
        <v>0.51290000000000002</v>
      </c>
      <c r="G64" s="9">
        <v>1.6992</v>
      </c>
      <c r="H64" s="9">
        <v>5.4718999999999998</v>
      </c>
      <c r="I64" s="9">
        <v>173.4794</v>
      </c>
      <c r="J64" s="9">
        <v>63.434199999999997</v>
      </c>
      <c r="K64" s="9">
        <v>0.35549999999999998</v>
      </c>
      <c r="L64" s="9">
        <v>0.12859999999999999</v>
      </c>
    </row>
    <row r="65" spans="1:18" x14ac:dyDescent="0.25">
      <c r="A65" s="7">
        <v>13</v>
      </c>
      <c r="B65" s="7">
        <v>2024</v>
      </c>
      <c r="C65" s="8" t="s">
        <v>12</v>
      </c>
      <c r="D65" s="8" t="s">
        <v>13</v>
      </c>
      <c r="E65" s="9">
        <v>1.2701</v>
      </c>
      <c r="F65" s="9">
        <v>0.36730000000000002</v>
      </c>
      <c r="G65" s="9">
        <v>1.3306</v>
      </c>
      <c r="H65" s="9">
        <v>4.4435000000000002</v>
      </c>
      <c r="I65" s="9">
        <v>170.24029999999999</v>
      </c>
      <c r="J65" s="9">
        <v>62.995899999999999</v>
      </c>
      <c r="K65" s="9">
        <v>0.34520000000000001</v>
      </c>
      <c r="L65" s="9">
        <v>0.12559999999999999</v>
      </c>
    </row>
    <row r="66" spans="1:18" x14ac:dyDescent="0.25">
      <c r="A66" s="7">
        <v>14</v>
      </c>
      <c r="B66" s="7">
        <v>2024</v>
      </c>
      <c r="C66" s="8" t="s">
        <v>14</v>
      </c>
      <c r="D66" s="8" t="s">
        <v>13</v>
      </c>
      <c r="E66" s="9">
        <v>0.92569999999999997</v>
      </c>
      <c r="F66" s="9">
        <v>0.29680000000000001</v>
      </c>
      <c r="G66" s="9">
        <v>0.95530000000000004</v>
      </c>
      <c r="H66" s="9">
        <v>3.0411999999999999</v>
      </c>
      <c r="I66" s="9">
        <v>168.95910000000001</v>
      </c>
      <c r="J66" s="9">
        <v>62.819600000000001</v>
      </c>
      <c r="K66" s="9">
        <v>0.30659999999999998</v>
      </c>
      <c r="L66" s="9">
        <v>0.13189999999999999</v>
      </c>
    </row>
    <row r="67" spans="1:18" x14ac:dyDescent="0.25">
      <c r="A67" s="7">
        <v>15</v>
      </c>
      <c r="B67" s="7">
        <v>2024</v>
      </c>
      <c r="C67" s="8" t="s">
        <v>15</v>
      </c>
      <c r="D67" s="8" t="s">
        <v>13</v>
      </c>
      <c r="E67" s="9">
        <v>1.5532999999999999</v>
      </c>
      <c r="F67" s="9">
        <v>0.63529999999999998</v>
      </c>
      <c r="G67" s="9">
        <v>2.1053000000000002</v>
      </c>
      <c r="H67" s="9">
        <v>6.4108000000000001</v>
      </c>
      <c r="I67" s="9">
        <v>181.4786</v>
      </c>
      <c r="J67" s="9">
        <v>64.473299999999995</v>
      </c>
      <c r="K67" s="9">
        <v>0.29120000000000001</v>
      </c>
      <c r="L67" s="9">
        <v>0.1353</v>
      </c>
    </row>
    <row r="68" spans="1:18" x14ac:dyDescent="0.25">
      <c r="A68" s="7">
        <v>16</v>
      </c>
      <c r="B68" s="7">
        <v>2024</v>
      </c>
      <c r="C68" s="8" t="s">
        <v>16</v>
      </c>
      <c r="D68" s="8" t="s">
        <v>13</v>
      </c>
      <c r="E68" s="9">
        <v>1.4238999999999999</v>
      </c>
      <c r="F68" s="9">
        <v>0.56379999999999997</v>
      </c>
      <c r="G68" s="9">
        <v>1.853</v>
      </c>
      <c r="H68" s="9">
        <v>5.6429</v>
      </c>
      <c r="I68" s="9">
        <v>175.7818</v>
      </c>
      <c r="J68" s="9">
        <v>63.7395</v>
      </c>
      <c r="K68" s="9">
        <v>0.35460000000000003</v>
      </c>
      <c r="L68" s="9">
        <v>0.1411</v>
      </c>
    </row>
    <row r="69" spans="1:18" x14ac:dyDescent="0.25">
      <c r="A69" s="7">
        <v>17</v>
      </c>
      <c r="B69" s="7">
        <v>2025</v>
      </c>
      <c r="C69" s="8" t="s">
        <v>12</v>
      </c>
      <c r="D69" s="8" t="s">
        <v>17</v>
      </c>
      <c r="E69" s="9">
        <v>1.2938000000000001</v>
      </c>
      <c r="F69" s="9">
        <v>0.34389999999999998</v>
      </c>
      <c r="G69" s="9">
        <v>1.1446000000000001</v>
      </c>
      <c r="H69" s="9">
        <v>3.5110999999999999</v>
      </c>
      <c r="I69" s="9">
        <v>175.91210000000001</v>
      </c>
      <c r="J69" s="9">
        <v>63.756599999999999</v>
      </c>
      <c r="K69" s="9">
        <v>0.29699999999999999</v>
      </c>
      <c r="L69" s="9">
        <v>0.13950000000000001</v>
      </c>
    </row>
    <row r="70" spans="1:18" x14ac:dyDescent="0.25">
      <c r="A70" s="7">
        <v>18</v>
      </c>
      <c r="B70" s="7">
        <v>2025</v>
      </c>
      <c r="C70" s="8" t="s">
        <v>14</v>
      </c>
      <c r="D70" s="8" t="s">
        <v>17</v>
      </c>
      <c r="E70" s="9">
        <v>1.2042999999999999</v>
      </c>
      <c r="F70" s="9">
        <v>0.44280000000000003</v>
      </c>
      <c r="G70" s="9">
        <v>1.5048999999999999</v>
      </c>
      <c r="H70" s="9">
        <v>5.5628000000000002</v>
      </c>
      <c r="I70" s="9">
        <v>189.8143</v>
      </c>
      <c r="J70" s="9">
        <v>65.495099999999994</v>
      </c>
      <c r="K70" s="9">
        <v>0.42370000000000002</v>
      </c>
      <c r="L70" s="9">
        <v>0.1288</v>
      </c>
    </row>
    <row r="71" spans="1:18" x14ac:dyDescent="0.25">
      <c r="A71" s="7">
        <v>19</v>
      </c>
      <c r="B71" s="7">
        <v>2025</v>
      </c>
      <c r="C71" s="8" t="s">
        <v>15</v>
      </c>
      <c r="D71" s="8" t="s">
        <v>17</v>
      </c>
      <c r="E71" s="9">
        <v>1.0771999999999999</v>
      </c>
      <c r="F71" s="9">
        <v>0.35020000000000001</v>
      </c>
      <c r="G71" s="9">
        <v>1.2018</v>
      </c>
      <c r="H71" s="9">
        <v>4.4715999999999996</v>
      </c>
      <c r="I71" s="9">
        <v>190.625</v>
      </c>
      <c r="J71" s="9">
        <v>65.591399999999993</v>
      </c>
      <c r="K71" s="9">
        <v>0.36620000000000003</v>
      </c>
      <c r="L71" s="9">
        <v>0.13039999999999999</v>
      </c>
    </row>
    <row r="72" spans="1:18" x14ac:dyDescent="0.25">
      <c r="A72" s="7">
        <v>20</v>
      </c>
      <c r="B72" s="7">
        <v>2025</v>
      </c>
      <c r="C72" s="8" t="s">
        <v>16</v>
      </c>
      <c r="D72" s="8" t="s">
        <v>17</v>
      </c>
      <c r="E72" s="9">
        <v>-5.1200000000000002E-2</v>
      </c>
      <c r="F72" s="9">
        <v>-1.3973</v>
      </c>
      <c r="G72" s="9">
        <v>-5.3648999999999996</v>
      </c>
      <c r="H72" s="9">
        <v>-15.348000000000001</v>
      </c>
      <c r="I72" s="9">
        <v>209.36349999999999</v>
      </c>
      <c r="J72" s="9">
        <v>67.675600000000003</v>
      </c>
      <c r="K72" s="9">
        <v>0.49330000000000002</v>
      </c>
      <c r="L72" s="9">
        <v>0.15659999999999999</v>
      </c>
    </row>
    <row r="73" spans="1:18" customFormat="1" ht="15.75" customHeight="1" x14ac:dyDescent="0.25"/>
    <row r="74" spans="1:18" customFormat="1" ht="15.75" customHeight="1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</row>
    <row r="75" spans="1:18" customFormat="1" ht="16.5" customHeight="1" x14ac:dyDescent="0.25">
      <c r="A75" s="39" t="s">
        <v>136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3"/>
      <c r="P75" s="33"/>
      <c r="Q75" s="33"/>
      <c r="R75" s="33"/>
    </row>
    <row r="76" spans="1:18" ht="51" x14ac:dyDescent="0.25">
      <c r="A76" s="11" t="s">
        <v>61</v>
      </c>
      <c r="B76" s="11" t="s">
        <v>1</v>
      </c>
      <c r="C76" s="11" t="s">
        <v>62</v>
      </c>
      <c r="D76" s="11" t="s">
        <v>3</v>
      </c>
      <c r="E76" s="6" t="s">
        <v>4</v>
      </c>
      <c r="F76" s="6" t="s">
        <v>5</v>
      </c>
      <c r="G76" s="6" t="s">
        <v>6</v>
      </c>
      <c r="H76" s="6" t="s">
        <v>7</v>
      </c>
      <c r="I76" s="6" t="s">
        <v>8</v>
      </c>
      <c r="J76" s="6" t="s">
        <v>9</v>
      </c>
      <c r="K76" s="6" t="s">
        <v>10</v>
      </c>
      <c r="L76" s="6" t="s">
        <v>11</v>
      </c>
    </row>
    <row r="77" spans="1:18" x14ac:dyDescent="0.25">
      <c r="A77" s="12">
        <v>1</v>
      </c>
      <c r="B77" s="13">
        <v>2021</v>
      </c>
      <c r="C77" s="14">
        <v>4</v>
      </c>
      <c r="D77" s="13" t="s">
        <v>13</v>
      </c>
      <c r="E77" s="9">
        <f t="shared" ref="E77:L77" si="3">AVERAGE(E53:E56)</f>
        <v>1.1783249999999998</v>
      </c>
      <c r="F77" s="9">
        <f t="shared" si="3"/>
        <v>0.470775</v>
      </c>
      <c r="G77" s="9">
        <f t="shared" si="3"/>
        <v>1.6396500000000003</v>
      </c>
      <c r="H77" s="9">
        <f t="shared" si="3"/>
        <v>4.8269500000000001</v>
      </c>
      <c r="I77" s="9">
        <f t="shared" si="3"/>
        <v>170.85537499999998</v>
      </c>
      <c r="J77" s="9">
        <f t="shared" si="3"/>
        <v>63.072699999999998</v>
      </c>
      <c r="K77" s="9">
        <f t="shared" si="3"/>
        <v>0.33494999999999997</v>
      </c>
      <c r="L77" s="9">
        <f t="shared" si="3"/>
        <v>0.13592500000000002</v>
      </c>
    </row>
    <row r="78" spans="1:18" x14ac:dyDescent="0.25">
      <c r="A78" s="12">
        <v>2</v>
      </c>
      <c r="B78" s="13">
        <v>2022</v>
      </c>
      <c r="C78" s="14">
        <v>4</v>
      </c>
      <c r="D78" s="13" t="s">
        <v>13</v>
      </c>
      <c r="E78" s="9">
        <f t="shared" ref="E78:L78" si="4">AVERAGE(E57:E60)</f>
        <v>0.89907500000000007</v>
      </c>
      <c r="F78" s="9">
        <f t="shared" si="4"/>
        <v>0.34312500000000001</v>
      </c>
      <c r="G78" s="9">
        <f t="shared" si="4"/>
        <v>1.2292000000000001</v>
      </c>
      <c r="H78" s="9">
        <f t="shared" si="4"/>
        <v>3.7908999999999997</v>
      </c>
      <c r="I78" s="9">
        <f t="shared" si="4"/>
        <v>189.286025</v>
      </c>
      <c r="J78" s="9">
        <f t="shared" si="4"/>
        <v>65.315250000000006</v>
      </c>
      <c r="K78" s="9">
        <f t="shared" si="4"/>
        <v>0.32567499999999999</v>
      </c>
      <c r="L78" s="9">
        <f t="shared" si="4"/>
        <v>0.12632499999999999</v>
      </c>
    </row>
    <row r="79" spans="1:18" x14ac:dyDescent="0.25">
      <c r="A79" s="12">
        <v>3</v>
      </c>
      <c r="B79" s="13">
        <v>2023</v>
      </c>
      <c r="C79" s="14">
        <v>4</v>
      </c>
      <c r="D79" s="13" t="s">
        <v>13</v>
      </c>
      <c r="E79" s="9">
        <f t="shared" ref="E79:L79" si="5">AVERAGE(E61:E64)</f>
        <v>1.2088749999999999</v>
      </c>
      <c r="F79" s="9">
        <f t="shared" si="5"/>
        <v>0.33422499999999999</v>
      </c>
      <c r="G79" s="9">
        <f t="shared" si="5"/>
        <v>1.0926</v>
      </c>
      <c r="H79" s="9">
        <f t="shared" si="5"/>
        <v>3.6755249999999999</v>
      </c>
      <c r="I79" s="9">
        <f t="shared" si="5"/>
        <v>165.70994999999999</v>
      </c>
      <c r="J79" s="9">
        <f t="shared" si="5"/>
        <v>62.345849999999999</v>
      </c>
      <c r="K79" s="9">
        <f t="shared" si="5"/>
        <v>0.28332499999999994</v>
      </c>
      <c r="L79" s="9">
        <f t="shared" si="5"/>
        <v>0.12407499999999999</v>
      </c>
    </row>
    <row r="80" spans="1:18" x14ac:dyDescent="0.25">
      <c r="A80" s="12">
        <v>4</v>
      </c>
      <c r="B80" s="13">
        <v>2024</v>
      </c>
      <c r="C80" s="14">
        <v>4</v>
      </c>
      <c r="D80" s="13" t="s">
        <v>13</v>
      </c>
      <c r="E80" s="9">
        <f t="shared" ref="E80:L80" si="6">AVERAGE(E65:E68)</f>
        <v>1.29325</v>
      </c>
      <c r="F80" s="9">
        <f t="shared" si="6"/>
        <v>0.46579999999999999</v>
      </c>
      <c r="G80" s="9">
        <f t="shared" si="6"/>
        <v>1.5610499999999998</v>
      </c>
      <c r="H80" s="9">
        <f t="shared" si="6"/>
        <v>4.8845999999999998</v>
      </c>
      <c r="I80" s="9">
        <f t="shared" si="6"/>
        <v>174.11494999999999</v>
      </c>
      <c r="J80" s="9">
        <f t="shared" si="6"/>
        <v>63.507074999999993</v>
      </c>
      <c r="K80" s="9">
        <f t="shared" si="6"/>
        <v>0.32440000000000002</v>
      </c>
      <c r="L80" s="9">
        <f t="shared" si="6"/>
        <v>0.13347499999999998</v>
      </c>
    </row>
    <row r="81" spans="1:12" x14ac:dyDescent="0.25">
      <c r="A81" s="12">
        <v>5</v>
      </c>
      <c r="B81" s="12">
        <v>2025</v>
      </c>
      <c r="C81" s="14">
        <v>4</v>
      </c>
      <c r="D81" s="12" t="s">
        <v>17</v>
      </c>
      <c r="E81" s="9">
        <f t="shared" ref="E81:L81" si="7">AVERAGE(E69:E72)</f>
        <v>0.88102499999999995</v>
      </c>
      <c r="F81" s="9">
        <f t="shared" si="7"/>
        <v>-6.5099999999999991E-2</v>
      </c>
      <c r="G81" s="9">
        <f t="shared" si="7"/>
        <v>-0.37839999999999996</v>
      </c>
      <c r="H81" s="9">
        <f t="shared" si="7"/>
        <v>-0.45062500000000005</v>
      </c>
      <c r="I81" s="9">
        <f t="shared" si="7"/>
        <v>191.42872499999999</v>
      </c>
      <c r="J81" s="9">
        <f t="shared" si="7"/>
        <v>65.629674999999992</v>
      </c>
      <c r="K81" s="9">
        <f t="shared" si="7"/>
        <v>0.39505000000000001</v>
      </c>
      <c r="L81" s="9">
        <f t="shared" si="7"/>
        <v>0.13882499999999998</v>
      </c>
    </row>
    <row r="82" spans="1:12" x14ac:dyDescent="0.25">
      <c r="A82" s="15" t="s">
        <v>63</v>
      </c>
      <c r="B82" s="15"/>
      <c r="C82" s="15"/>
      <c r="D82" s="15"/>
      <c r="E82" s="16">
        <f t="shared" ref="E82:L82" si="8">AVERAGE(E53:E72)</f>
        <v>1.0921099999999999</v>
      </c>
      <c r="F82" s="16">
        <f t="shared" si="8"/>
        <v>0.30976499999999996</v>
      </c>
      <c r="G82" s="16">
        <f t="shared" si="8"/>
        <v>1.0288200000000001</v>
      </c>
      <c r="H82" s="16">
        <f t="shared" si="8"/>
        <v>3.3454699999999997</v>
      </c>
      <c r="I82" s="16">
        <f t="shared" si="8"/>
        <v>178.27900499999998</v>
      </c>
      <c r="J82" s="16">
        <f t="shared" si="8"/>
        <v>63.97411000000001</v>
      </c>
      <c r="K82" s="16">
        <f t="shared" si="8"/>
        <v>0.33267999999999998</v>
      </c>
      <c r="L82" s="16">
        <f t="shared" si="8"/>
        <v>0.13172500000000001</v>
      </c>
    </row>
  </sheetData>
  <mergeCells count="6">
    <mergeCell ref="A50:L50"/>
    <mergeCell ref="A82:D82"/>
    <mergeCell ref="A1:R1"/>
    <mergeCell ref="A2:R2"/>
    <mergeCell ref="A26:P26"/>
    <mergeCell ref="A75:N7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7"/>
  <sheetViews>
    <sheetView showGridLines="0" zoomScaleNormal="100" workbookViewId="0">
      <selection activeCell="A2" sqref="A1:XFD1048576"/>
    </sheetView>
  </sheetViews>
  <sheetFormatPr defaultColWidth="8.7109375" defaultRowHeight="15" x14ac:dyDescent="0.25"/>
  <cols>
    <col min="1" max="1" width="6" style="5" customWidth="1"/>
    <col min="2" max="5" width="12" style="5" customWidth="1"/>
    <col min="6" max="7" width="14" style="5" customWidth="1"/>
    <col min="8" max="8" width="4" style="5" customWidth="1"/>
    <col min="9" max="10" width="14" style="5" customWidth="1"/>
    <col min="11" max="16384" width="8.7109375" style="5"/>
  </cols>
  <sheetData>
    <row r="1" spans="1:10" ht="15.75" x14ac:dyDescent="0.25">
      <c r="A1" s="17" t="s">
        <v>64</v>
      </c>
      <c r="B1" s="17"/>
      <c r="C1" s="17"/>
      <c r="D1" s="17"/>
      <c r="E1" s="17"/>
      <c r="F1" s="17"/>
      <c r="G1" s="17"/>
    </row>
    <row r="2" spans="1:10" x14ac:dyDescent="0.25">
      <c r="A2" s="6" t="s">
        <v>19</v>
      </c>
      <c r="B2" s="6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I2" s="18" t="s">
        <v>26</v>
      </c>
      <c r="J2" s="19">
        <f>AVERAGE('Data Rasio Keuangan'!$E$53:$E$72)</f>
        <v>1.0921099999999999</v>
      </c>
    </row>
    <row r="3" spans="1:10" x14ac:dyDescent="0.25">
      <c r="A3" s="7">
        <v>1</v>
      </c>
      <c r="B3" s="9">
        <f>SMALL('Data Rasio Keuangan'!$E$53:$E$72,1)</f>
        <v>-5.1200000000000002E-2</v>
      </c>
      <c r="C3" s="9">
        <f>(1-1)/20</f>
        <v>0</v>
      </c>
      <c r="D3" s="9">
        <f>1/20</f>
        <v>0.05</v>
      </c>
      <c r="E3" s="9">
        <f>NORMDIST(B3,$J2,$J3,TRUE())</f>
        <v>3.5593377885853928E-3</v>
      </c>
      <c r="F3" s="9">
        <f t="shared" ref="F3:F22" si="0">ABS(D3-E3)</f>
        <v>4.6440662211414609E-2</v>
      </c>
      <c r="G3" s="9">
        <f t="shared" ref="G3:G22" si="1">ABS(E3-C3)</f>
        <v>3.5593377885853928E-3</v>
      </c>
      <c r="I3" s="18" t="s">
        <v>27</v>
      </c>
      <c r="J3" s="19">
        <f>STDEV('Data Rasio Keuangan'!$E$53:$E$72)</f>
        <v>0.42482632104500279</v>
      </c>
    </row>
    <row r="4" spans="1:10" x14ac:dyDescent="0.25">
      <c r="A4" s="7">
        <v>2</v>
      </c>
      <c r="B4" s="9">
        <f>SMALL('Data Rasio Keuangan'!$E$53:$E$72,2)</f>
        <v>-1.9E-3</v>
      </c>
      <c r="C4" s="9">
        <f>(2-1)/20</f>
        <v>0.05</v>
      </c>
      <c r="D4" s="9">
        <f>2/20</f>
        <v>0.1</v>
      </c>
      <c r="E4" s="9">
        <f>NORMDIST(B4,$J2,$J3,TRUE())</f>
        <v>5.0092004257236032E-3</v>
      </c>
      <c r="F4" s="9">
        <f t="shared" si="0"/>
        <v>9.4990799574276405E-2</v>
      </c>
      <c r="G4" s="9">
        <f t="shared" si="1"/>
        <v>4.4990799574276402E-2</v>
      </c>
    </row>
    <row r="5" spans="1:10" x14ac:dyDescent="0.25">
      <c r="A5" s="7">
        <v>3</v>
      </c>
      <c r="B5" s="9">
        <f>SMALL('Data Rasio Keuangan'!$E$53:$E$72,3)</f>
        <v>0.88370000000000004</v>
      </c>
      <c r="C5" s="9">
        <f>(3-1)/20</f>
        <v>0.1</v>
      </c>
      <c r="D5" s="9">
        <f>3/20</f>
        <v>0.15</v>
      </c>
      <c r="E5" s="9">
        <f>NORMDIST(B5,$J2,$J3,TRUE())</f>
        <v>0.31186284694781835</v>
      </c>
      <c r="F5" s="9">
        <f t="shared" si="0"/>
        <v>0.16186284694781836</v>
      </c>
      <c r="G5" s="9">
        <f t="shared" si="1"/>
        <v>0.21186284694781835</v>
      </c>
    </row>
    <row r="6" spans="1:10" x14ac:dyDescent="0.25">
      <c r="A6" s="7">
        <v>4</v>
      </c>
      <c r="B6" s="9">
        <f>SMALL('Data Rasio Keuangan'!$E$53:$E$72,4)</f>
        <v>0.92390000000000005</v>
      </c>
      <c r="C6" s="9">
        <f>(4-1)/20</f>
        <v>0.15</v>
      </c>
      <c r="D6" s="9">
        <f>4/20</f>
        <v>0.2</v>
      </c>
      <c r="E6" s="9">
        <f>NORMDIST(B6,$J2,$J3,TRUE())</f>
        <v>0.3460709413513281</v>
      </c>
      <c r="F6" s="9">
        <f t="shared" si="0"/>
        <v>0.14607094135132809</v>
      </c>
      <c r="G6" s="9">
        <f t="shared" si="1"/>
        <v>0.1960709413513281</v>
      </c>
    </row>
    <row r="7" spans="1:10" x14ac:dyDescent="0.25">
      <c r="A7" s="7">
        <v>5</v>
      </c>
      <c r="B7" s="9">
        <f>SMALL('Data Rasio Keuangan'!$E$53:$E$72,5)</f>
        <v>0.92569999999999997</v>
      </c>
      <c r="C7" s="9">
        <f>(5-1)/20</f>
        <v>0.2</v>
      </c>
      <c r="D7" s="9">
        <f>5/20</f>
        <v>0.25</v>
      </c>
      <c r="E7" s="9">
        <f>NORMDIST(B7,$J2,$J3,TRUE())</f>
        <v>0.34763513540964952</v>
      </c>
      <c r="F7" s="9">
        <f t="shared" si="0"/>
        <v>9.7635135409649521E-2</v>
      </c>
      <c r="G7" s="9">
        <f t="shared" si="1"/>
        <v>0.14763513540964951</v>
      </c>
    </row>
    <row r="8" spans="1:10" x14ac:dyDescent="0.25">
      <c r="A8" s="7">
        <v>6</v>
      </c>
      <c r="B8" s="9">
        <f>SMALL('Data Rasio Keuangan'!$E$53:$E$72,6)</f>
        <v>1.0264</v>
      </c>
      <c r="C8" s="9">
        <f>(6-1)/20</f>
        <v>0.25</v>
      </c>
      <c r="D8" s="9">
        <f>6/20</f>
        <v>0.3</v>
      </c>
      <c r="E8" s="9">
        <f>NORMDIST(B8,$J2,$J3,TRUE())</f>
        <v>0.4385387803397921</v>
      </c>
      <c r="F8" s="9">
        <f t="shared" si="0"/>
        <v>0.13853878033979211</v>
      </c>
      <c r="G8" s="9">
        <f t="shared" si="1"/>
        <v>0.1885387803397921</v>
      </c>
    </row>
    <row r="9" spans="1:10" x14ac:dyDescent="0.25">
      <c r="A9" s="7">
        <v>7</v>
      </c>
      <c r="B9" s="9">
        <f>SMALL('Data Rasio Keuangan'!$E$53:$E$72,7)</f>
        <v>1.0771999999999999</v>
      </c>
      <c r="C9" s="9">
        <f>(7-1)/20</f>
        <v>0.3</v>
      </c>
      <c r="D9" s="9">
        <f>7/20</f>
        <v>0.35</v>
      </c>
      <c r="E9" s="9">
        <f>NORMDIST(B9,$J2,$J3,TRUE())</f>
        <v>0.486001318228033</v>
      </c>
      <c r="F9" s="9">
        <f t="shared" si="0"/>
        <v>0.13600131822803302</v>
      </c>
      <c r="G9" s="9">
        <f t="shared" si="1"/>
        <v>0.18600131822803301</v>
      </c>
    </row>
    <row r="10" spans="1:10" x14ac:dyDescent="0.25">
      <c r="A10" s="7">
        <v>8</v>
      </c>
      <c r="B10" s="9">
        <f>SMALL('Data Rasio Keuangan'!$E$53:$E$72,8)</f>
        <v>1.1195999999999999</v>
      </c>
      <c r="C10" s="9">
        <f>(8-1)/20</f>
        <v>0.35</v>
      </c>
      <c r="D10" s="9">
        <f>8/20</f>
        <v>0.4</v>
      </c>
      <c r="E10" s="9">
        <f>NORMDIST(B10,$J2,$J3,TRUE())</f>
        <v>0.52579707058615055</v>
      </c>
      <c r="F10" s="9">
        <f t="shared" si="0"/>
        <v>0.12579707058615053</v>
      </c>
      <c r="G10" s="9">
        <f t="shared" si="1"/>
        <v>0.17579707058615057</v>
      </c>
    </row>
    <row r="11" spans="1:10" x14ac:dyDescent="0.25">
      <c r="A11" s="7">
        <v>9</v>
      </c>
      <c r="B11" s="9">
        <f>SMALL('Data Rasio Keuangan'!$E$53:$E$72,9)</f>
        <v>1.1677</v>
      </c>
      <c r="C11" s="9">
        <f>(9-1)/20</f>
        <v>0.4</v>
      </c>
      <c r="D11" s="9">
        <f>9/20</f>
        <v>0.45</v>
      </c>
      <c r="E11" s="9">
        <f>NORMDIST(B11,$J2,$J3,TRUE())</f>
        <v>0.5706116282187994</v>
      </c>
      <c r="F11" s="9">
        <f t="shared" si="0"/>
        <v>0.12061162821879939</v>
      </c>
      <c r="G11" s="9">
        <f t="shared" si="1"/>
        <v>0.17061162821879938</v>
      </c>
    </row>
    <row r="12" spans="1:10" x14ac:dyDescent="0.25">
      <c r="A12" s="7">
        <v>10</v>
      </c>
      <c r="B12" s="9">
        <f>SMALL('Data Rasio Keuangan'!$E$53:$E$72,10)</f>
        <v>1.2042999999999999</v>
      </c>
      <c r="C12" s="9">
        <f>(10-1)/20</f>
        <v>0.45</v>
      </c>
      <c r="D12" s="9">
        <f>10/20</f>
        <v>0.5</v>
      </c>
      <c r="E12" s="9">
        <f>NORMDIST(B12,$J2,$J3,TRUE())</f>
        <v>0.60414255412630657</v>
      </c>
      <c r="F12" s="9">
        <f t="shared" si="0"/>
        <v>0.10414255412630657</v>
      </c>
      <c r="G12" s="9">
        <f t="shared" si="1"/>
        <v>0.15414255412630656</v>
      </c>
    </row>
    <row r="13" spans="1:10" x14ac:dyDescent="0.25">
      <c r="A13" s="7">
        <v>11</v>
      </c>
      <c r="B13" s="9">
        <f>SMALL('Data Rasio Keuangan'!$E$53:$E$72,11)</f>
        <v>1.2384999999999999</v>
      </c>
      <c r="C13" s="9">
        <f>(11-1)/20</f>
        <v>0.5</v>
      </c>
      <c r="D13" s="9">
        <f>11/20</f>
        <v>0.55000000000000004</v>
      </c>
      <c r="E13" s="9">
        <f>NORMDIST(B13,$J2,$J3,TRUE())</f>
        <v>0.63479788946256321</v>
      </c>
      <c r="F13" s="9">
        <f t="shared" si="0"/>
        <v>8.479788946256317E-2</v>
      </c>
      <c r="G13" s="9">
        <f t="shared" si="1"/>
        <v>0.13479788946256321</v>
      </c>
    </row>
    <row r="14" spans="1:10" x14ac:dyDescent="0.25">
      <c r="A14" s="7">
        <v>12</v>
      </c>
      <c r="B14" s="9">
        <f>SMALL('Data Rasio Keuangan'!$E$53:$E$72,12)</f>
        <v>1.2577</v>
      </c>
      <c r="C14" s="9">
        <f>(12-1)/20</f>
        <v>0.55000000000000004</v>
      </c>
      <c r="D14" s="9">
        <f>12/20</f>
        <v>0.6</v>
      </c>
      <c r="E14" s="9">
        <f>NORMDIST(B14,$J2,$J3,TRUE())</f>
        <v>0.65165142443532176</v>
      </c>
      <c r="F14" s="9">
        <f t="shared" si="0"/>
        <v>5.165142443532178E-2</v>
      </c>
      <c r="G14" s="9">
        <f t="shared" si="1"/>
        <v>0.10165142443532171</v>
      </c>
    </row>
    <row r="15" spans="1:10" x14ac:dyDescent="0.25">
      <c r="A15" s="7">
        <v>13</v>
      </c>
      <c r="B15" s="9">
        <f>SMALL('Data Rasio Keuangan'!$E$53:$E$72,13)</f>
        <v>1.2683</v>
      </c>
      <c r="C15" s="9">
        <f>(13-1)/20</f>
        <v>0.6</v>
      </c>
      <c r="D15" s="9">
        <f>13/20</f>
        <v>0.65</v>
      </c>
      <c r="E15" s="9">
        <f>NORMDIST(B15,$J2,$J3,TRUE())</f>
        <v>0.66083174958515589</v>
      </c>
      <c r="F15" s="9">
        <f t="shared" si="0"/>
        <v>1.083174958515587E-2</v>
      </c>
      <c r="G15" s="9">
        <f t="shared" si="1"/>
        <v>6.0831749585155914E-2</v>
      </c>
    </row>
    <row r="16" spans="1:10" x14ac:dyDescent="0.25">
      <c r="A16" s="7">
        <v>14</v>
      </c>
      <c r="B16" s="9">
        <f>SMALL('Data Rasio Keuangan'!$E$53:$E$72,14)</f>
        <v>1.2701</v>
      </c>
      <c r="C16" s="9">
        <f>(14-1)/20</f>
        <v>0.65</v>
      </c>
      <c r="D16" s="9">
        <f>14/20</f>
        <v>0.7</v>
      </c>
      <c r="E16" s="9">
        <f>NORMDIST(B16,$J2,$J3,TRUE())</f>
        <v>0.6623814153557992</v>
      </c>
      <c r="F16" s="9">
        <f t="shared" si="0"/>
        <v>3.7618584644200759E-2</v>
      </c>
      <c r="G16" s="9">
        <f t="shared" si="1"/>
        <v>1.2381415355799175E-2</v>
      </c>
    </row>
    <row r="17" spans="1:10" x14ac:dyDescent="0.25">
      <c r="A17" s="7">
        <v>15</v>
      </c>
      <c r="B17" s="9">
        <f>SMALL('Data Rasio Keuangan'!$E$53:$E$72,15)</f>
        <v>1.2938000000000001</v>
      </c>
      <c r="C17" s="9">
        <f>(15-1)/20</f>
        <v>0.7</v>
      </c>
      <c r="D17" s="9">
        <f>15/20</f>
        <v>0.75</v>
      </c>
      <c r="E17" s="9">
        <f>NORMDIST(B17,$J2,$J3,TRUE())</f>
        <v>0.68252052015516185</v>
      </c>
      <c r="F17" s="9">
        <f t="shared" si="0"/>
        <v>6.7479479844838153E-2</v>
      </c>
      <c r="G17" s="9">
        <f t="shared" si="1"/>
        <v>1.7479479844838108E-2</v>
      </c>
    </row>
    <row r="18" spans="1:10" x14ac:dyDescent="0.25">
      <c r="A18" s="7">
        <v>16</v>
      </c>
      <c r="B18" s="9">
        <f>SMALL('Data Rasio Keuangan'!$E$53:$E$72,16)</f>
        <v>1.3731</v>
      </c>
      <c r="C18" s="9">
        <f>(16-1)/20</f>
        <v>0.75</v>
      </c>
      <c r="D18" s="9">
        <f>16/20</f>
        <v>0.8</v>
      </c>
      <c r="E18" s="9">
        <f>NORMDIST(B18,$J2,$J3,TRUE())</f>
        <v>0.74582953567483723</v>
      </c>
      <c r="F18" s="9">
        <f t="shared" si="0"/>
        <v>5.4170464325162815E-2</v>
      </c>
      <c r="G18" s="9">
        <f t="shared" si="1"/>
        <v>4.1704643251627704E-3</v>
      </c>
    </row>
    <row r="19" spans="1:10" x14ac:dyDescent="0.25">
      <c r="A19" s="7">
        <v>17</v>
      </c>
      <c r="B19" s="9">
        <f>SMALL('Data Rasio Keuangan'!$E$53:$E$72,17)</f>
        <v>1.4238999999999999</v>
      </c>
      <c r="C19" s="9">
        <f>(17-1)/20</f>
        <v>0.8</v>
      </c>
      <c r="D19" s="9">
        <f>17/20</f>
        <v>0.85</v>
      </c>
      <c r="E19" s="9">
        <f>NORMDIST(B19,$J2,$J3,TRUE())</f>
        <v>0.78259919792898691</v>
      </c>
      <c r="F19" s="9">
        <f t="shared" si="0"/>
        <v>6.7400802071013066E-2</v>
      </c>
      <c r="G19" s="9">
        <f t="shared" si="1"/>
        <v>1.7400802071013133E-2</v>
      </c>
    </row>
    <row r="20" spans="1:10" x14ac:dyDescent="0.25">
      <c r="A20" s="7">
        <v>18</v>
      </c>
      <c r="B20" s="9">
        <f>SMALL('Data Rasio Keuangan'!$E$53:$E$72,18)</f>
        <v>1.4313</v>
      </c>
      <c r="C20" s="9">
        <f>(18-1)/20</f>
        <v>0.85</v>
      </c>
      <c r="D20" s="9">
        <f>18/20</f>
        <v>0.9</v>
      </c>
      <c r="E20" s="9">
        <f>NORMDIST(B20,$J2,$J3,TRUE())</f>
        <v>0.78768671477538832</v>
      </c>
      <c r="F20" s="9">
        <f t="shared" si="0"/>
        <v>0.1123132852246117</v>
      </c>
      <c r="G20" s="9">
        <f t="shared" si="1"/>
        <v>6.2313285224611659E-2</v>
      </c>
    </row>
    <row r="21" spans="1:10" x14ac:dyDescent="0.25">
      <c r="A21" s="7">
        <v>19</v>
      </c>
      <c r="B21" s="9">
        <f>SMALL('Data Rasio Keuangan'!$E$53:$E$72,19)</f>
        <v>1.4568000000000001</v>
      </c>
      <c r="C21" s="9">
        <f>(19-1)/20</f>
        <v>0.9</v>
      </c>
      <c r="D21" s="9">
        <f>19/20</f>
        <v>0.95</v>
      </c>
      <c r="E21" s="9">
        <f>NORMDIST(B21,$J2,$J3,TRUE())</f>
        <v>0.80467658559556765</v>
      </c>
      <c r="F21" s="9">
        <f t="shared" si="0"/>
        <v>0.14532341440443231</v>
      </c>
      <c r="G21" s="9">
        <f t="shared" si="1"/>
        <v>9.5323414404432372E-2</v>
      </c>
    </row>
    <row r="22" spans="1:10" x14ac:dyDescent="0.25">
      <c r="A22" s="7">
        <v>20</v>
      </c>
      <c r="B22" s="9">
        <f>SMALL('Data Rasio Keuangan'!$E$53:$E$72,20)</f>
        <v>1.5532999999999999</v>
      </c>
      <c r="C22" s="9">
        <f>(20-1)/20</f>
        <v>0.95</v>
      </c>
      <c r="D22" s="9">
        <f>20/20</f>
        <v>1</v>
      </c>
      <c r="E22" s="9">
        <f>NORMDIST(B22,$J2,$J3,TRUE())</f>
        <v>0.86117124259451394</v>
      </c>
      <c r="F22" s="9">
        <f t="shared" si="0"/>
        <v>0.13882875740548606</v>
      </c>
      <c r="G22" s="9">
        <f t="shared" si="1"/>
        <v>8.8828757405486014E-2</v>
      </c>
    </row>
    <row r="23" spans="1:10" x14ac:dyDescent="0.25">
      <c r="A23" s="18" t="s">
        <v>28</v>
      </c>
      <c r="B23" s="20">
        <f>MAX(F3:G22)</f>
        <v>0.21186284694781835</v>
      </c>
    </row>
    <row r="24" spans="1:10" x14ac:dyDescent="0.25">
      <c r="A24" s="18" t="s">
        <v>29</v>
      </c>
      <c r="B24" s="20">
        <v>0.29407</v>
      </c>
      <c r="C24" s="21" t="s">
        <v>30</v>
      </c>
    </row>
    <row r="25" spans="1:10" x14ac:dyDescent="0.25">
      <c r="A25" s="18" t="s">
        <v>31</v>
      </c>
      <c r="B25" s="18" t="str">
        <f>IF(B23&lt;B24,"Normal (H0 gagal ditolak)","Tidak Normal (H0 ditolak)")</f>
        <v>Normal (H0 gagal ditolak)</v>
      </c>
    </row>
    <row r="27" spans="1:10" ht="15.75" x14ac:dyDescent="0.25">
      <c r="A27" s="17" t="s">
        <v>32</v>
      </c>
      <c r="B27" s="17"/>
      <c r="C27" s="17"/>
      <c r="D27" s="17"/>
      <c r="E27" s="17"/>
      <c r="F27" s="17"/>
      <c r="G27" s="17"/>
    </row>
    <row r="28" spans="1:10" x14ac:dyDescent="0.25">
      <c r="A28" s="6" t="s">
        <v>19</v>
      </c>
      <c r="B28" s="6" t="s">
        <v>20</v>
      </c>
      <c r="C28" s="6" t="s">
        <v>21</v>
      </c>
      <c r="D28" s="6" t="s">
        <v>22</v>
      </c>
      <c r="E28" s="6" t="s">
        <v>23</v>
      </c>
      <c r="F28" s="6" t="s">
        <v>24</v>
      </c>
      <c r="G28" s="6" t="s">
        <v>25</v>
      </c>
      <c r="I28" s="18" t="s">
        <v>26</v>
      </c>
      <c r="J28" s="19">
        <f>AVERAGE('Data Rasio Keuangan'!$F$53:$F$72)</f>
        <v>0.30976499999999996</v>
      </c>
    </row>
    <row r="29" spans="1:10" x14ac:dyDescent="0.25">
      <c r="A29" s="7">
        <v>1</v>
      </c>
      <c r="B29" s="9">
        <f>SMALL('Data Rasio Keuangan'!$F$53:$F$72,1)</f>
        <v>-1.3973</v>
      </c>
      <c r="C29" s="9">
        <f>(1-1)/20</f>
        <v>0</v>
      </c>
      <c r="D29" s="9">
        <f>1/20</f>
        <v>0.05</v>
      </c>
      <c r="E29" s="9">
        <f>NORMDIST(B29,$J28,$J29,TRUE())</f>
        <v>4.2034528231570523E-5</v>
      </c>
      <c r="F29" s="9">
        <f t="shared" ref="F29:F48" si="2">ABS(D29-E29)</f>
        <v>4.995796547176843E-2</v>
      </c>
      <c r="G29" s="9">
        <f t="shared" ref="G29:G48" si="3">ABS(E29-C29)</f>
        <v>4.2034528231570523E-5</v>
      </c>
      <c r="I29" s="18" t="s">
        <v>27</v>
      </c>
      <c r="J29" s="19">
        <f>STDEV('Data Rasio Keuangan'!$F$53:$F$72)</f>
        <v>0.43409220009602861</v>
      </c>
    </row>
    <row r="30" spans="1:10" x14ac:dyDescent="0.25">
      <c r="A30" s="7">
        <v>2</v>
      </c>
      <c r="B30" s="9">
        <f>SMALL('Data Rasio Keuangan'!$F$53:$F$72,2)</f>
        <v>1.11E-2</v>
      </c>
      <c r="C30" s="9">
        <f>(2-1)/20</f>
        <v>0.05</v>
      </c>
      <c r="D30" s="9">
        <f>2/20</f>
        <v>0.1</v>
      </c>
      <c r="E30" s="9">
        <f>NORMDIST(B30,$J28,$J29,TRUE())</f>
        <v>0.24571945187422961</v>
      </c>
      <c r="F30" s="9">
        <f t="shared" si="2"/>
        <v>0.14571945187422961</v>
      </c>
      <c r="G30" s="9">
        <f t="shared" si="3"/>
        <v>0.19571945187422962</v>
      </c>
    </row>
    <row r="31" spans="1:10" x14ac:dyDescent="0.25">
      <c r="A31" s="7">
        <v>3</v>
      </c>
      <c r="B31" s="9">
        <f>SMALL('Data Rasio Keuangan'!$F$53:$F$72,3)</f>
        <v>0.1532</v>
      </c>
      <c r="C31" s="9">
        <f>(3-1)/20</f>
        <v>0.1</v>
      </c>
      <c r="D31" s="9">
        <f>3/20</f>
        <v>0.15</v>
      </c>
      <c r="E31" s="9">
        <f>NORMDIST(B31,$J28,$J29,TRUE())</f>
        <v>0.35917224486597288</v>
      </c>
      <c r="F31" s="9">
        <f t="shared" si="2"/>
        <v>0.20917224486597288</v>
      </c>
      <c r="G31" s="9">
        <f t="shared" si="3"/>
        <v>0.2591722448659729</v>
      </c>
    </row>
    <row r="32" spans="1:10" x14ac:dyDescent="0.25">
      <c r="A32" s="7">
        <v>4</v>
      </c>
      <c r="B32" s="9">
        <f>SMALL('Data Rasio Keuangan'!$F$53:$F$72,4)</f>
        <v>0.19359999999999999</v>
      </c>
      <c r="C32" s="9">
        <f>(4-1)/20</f>
        <v>0.15</v>
      </c>
      <c r="D32" s="9">
        <f>4/20</f>
        <v>0.2</v>
      </c>
      <c r="E32" s="9">
        <f>NORMDIST(B32,$J28,$J29,TRUE())</f>
        <v>0.3945019065793598</v>
      </c>
      <c r="F32" s="9">
        <f t="shared" si="2"/>
        <v>0.19450190657935978</v>
      </c>
      <c r="G32" s="9">
        <f t="shared" si="3"/>
        <v>0.2445019065793598</v>
      </c>
    </row>
    <row r="33" spans="1:7" x14ac:dyDescent="0.25">
      <c r="A33" s="7">
        <v>5</v>
      </c>
      <c r="B33" s="9">
        <f>SMALL('Data Rasio Keuangan'!$F$53:$F$72,5)</f>
        <v>0.23330000000000001</v>
      </c>
      <c r="C33" s="9">
        <f>(5-1)/20</f>
        <v>0.2</v>
      </c>
      <c r="D33" s="9">
        <f>5/20</f>
        <v>0.25</v>
      </c>
      <c r="E33" s="9">
        <f>NORMDIST(B33,$J28,$J29,TRUE())</f>
        <v>0.43008835894760367</v>
      </c>
      <c r="F33" s="9">
        <f t="shared" si="2"/>
        <v>0.18008835894760367</v>
      </c>
      <c r="G33" s="9">
        <f t="shared" si="3"/>
        <v>0.23008835894760366</v>
      </c>
    </row>
    <row r="34" spans="1:7" x14ac:dyDescent="0.25">
      <c r="A34" s="7">
        <v>6</v>
      </c>
      <c r="B34" s="9">
        <f>SMALL('Data Rasio Keuangan'!$F$53:$F$72,6)</f>
        <v>0.29680000000000001</v>
      </c>
      <c r="C34" s="9">
        <f>(6-1)/20</f>
        <v>0.25</v>
      </c>
      <c r="D34" s="9">
        <f>6/20</f>
        <v>0.3</v>
      </c>
      <c r="E34" s="9">
        <f>NORMDIST(B34,$J28,$J29,TRUE())</f>
        <v>0.48808659130064957</v>
      </c>
      <c r="F34" s="9">
        <f t="shared" si="2"/>
        <v>0.18808659130064959</v>
      </c>
      <c r="G34" s="9">
        <f t="shared" si="3"/>
        <v>0.23808659130064957</v>
      </c>
    </row>
    <row r="35" spans="1:7" x14ac:dyDescent="0.25">
      <c r="A35" s="7">
        <v>7</v>
      </c>
      <c r="B35" s="9">
        <f>SMALL('Data Rasio Keuangan'!$F$53:$F$72,7)</f>
        <v>0.34389999999999998</v>
      </c>
      <c r="C35" s="9">
        <f>(7-1)/20</f>
        <v>0.3</v>
      </c>
      <c r="D35" s="9">
        <f>7/20</f>
        <v>0.35</v>
      </c>
      <c r="E35" s="9">
        <f>NORMDIST(B35,$J28,$J29,TRUE())</f>
        <v>0.53133867257442435</v>
      </c>
      <c r="F35" s="9">
        <f t="shared" si="2"/>
        <v>0.18133867257442438</v>
      </c>
      <c r="G35" s="9">
        <f t="shared" si="3"/>
        <v>0.23133867257442436</v>
      </c>
    </row>
    <row r="36" spans="1:7" x14ac:dyDescent="0.25">
      <c r="A36" s="7">
        <v>8</v>
      </c>
      <c r="B36" s="9">
        <f>SMALL('Data Rasio Keuangan'!$F$53:$F$72,8)</f>
        <v>0.35020000000000001</v>
      </c>
      <c r="C36" s="9">
        <f>(8-1)/20</f>
        <v>0.35</v>
      </c>
      <c r="D36" s="9">
        <f>8/20</f>
        <v>0.4</v>
      </c>
      <c r="E36" s="9">
        <f>NORMDIST(B36,$J28,$J29,TRUE())</f>
        <v>0.53710717213451997</v>
      </c>
      <c r="F36" s="9">
        <f t="shared" si="2"/>
        <v>0.13710717213451995</v>
      </c>
      <c r="G36" s="9">
        <f t="shared" si="3"/>
        <v>0.18710717213451999</v>
      </c>
    </row>
    <row r="37" spans="1:7" x14ac:dyDescent="0.25">
      <c r="A37" s="7">
        <v>9</v>
      </c>
      <c r="B37" s="9">
        <f>SMALL('Data Rasio Keuangan'!$F$53:$F$72,9)</f>
        <v>0.36730000000000002</v>
      </c>
      <c r="C37" s="9">
        <f>(9-1)/20</f>
        <v>0.4</v>
      </c>
      <c r="D37" s="9">
        <f>9/20</f>
        <v>0.45</v>
      </c>
      <c r="E37" s="9">
        <f>NORMDIST(B37,$J28,$J29,TRUE())</f>
        <v>0.55272178910408176</v>
      </c>
      <c r="F37" s="9">
        <f t="shared" si="2"/>
        <v>0.10272178910408175</v>
      </c>
      <c r="G37" s="9">
        <f t="shared" si="3"/>
        <v>0.15272178910408174</v>
      </c>
    </row>
    <row r="38" spans="1:7" x14ac:dyDescent="0.25">
      <c r="A38" s="7">
        <v>10</v>
      </c>
      <c r="B38" s="9">
        <f>SMALL('Data Rasio Keuangan'!$F$53:$F$72,10)</f>
        <v>0.37309999999999999</v>
      </c>
      <c r="C38" s="9">
        <f>(10-1)/20</f>
        <v>0.45</v>
      </c>
      <c r="D38" s="9">
        <f>10/20</f>
        <v>0.5</v>
      </c>
      <c r="E38" s="9">
        <f>NORMDIST(B38,$J28,$J29,TRUE())</f>
        <v>0.5580006962239028</v>
      </c>
      <c r="F38" s="9">
        <f t="shared" si="2"/>
        <v>5.8000696223902803E-2</v>
      </c>
      <c r="G38" s="9">
        <f t="shared" si="3"/>
        <v>0.10800069622390279</v>
      </c>
    </row>
    <row r="39" spans="1:7" x14ac:dyDescent="0.25">
      <c r="A39" s="7">
        <v>11</v>
      </c>
      <c r="B39" s="9">
        <f>SMALL('Data Rasio Keuangan'!$F$53:$F$72,11)</f>
        <v>0.4375</v>
      </c>
      <c r="C39" s="9">
        <f>(11-1)/20</f>
        <v>0.5</v>
      </c>
      <c r="D39" s="9">
        <f>11/20</f>
        <v>0.55000000000000004</v>
      </c>
      <c r="E39" s="9">
        <f>NORMDIST(B39,$J28,$J29,TRUE())</f>
        <v>0.6157195278217974</v>
      </c>
      <c r="F39" s="9">
        <f t="shared" si="2"/>
        <v>6.5719527821797352E-2</v>
      </c>
      <c r="G39" s="9">
        <f t="shared" si="3"/>
        <v>0.1157195278217974</v>
      </c>
    </row>
    <row r="40" spans="1:7" x14ac:dyDescent="0.25">
      <c r="A40" s="7">
        <v>12</v>
      </c>
      <c r="B40" s="9">
        <f>SMALL('Data Rasio Keuangan'!$F$53:$F$72,12)</f>
        <v>0.438</v>
      </c>
      <c r="C40" s="9">
        <f>(12-1)/20</f>
        <v>0.55000000000000004</v>
      </c>
      <c r="D40" s="9">
        <f>12/20</f>
        <v>0.6</v>
      </c>
      <c r="E40" s="9">
        <f>NORMDIST(B40,$J28,$J29,TRUE())</f>
        <v>0.61615949687494864</v>
      </c>
      <c r="F40" s="9">
        <f t="shared" si="2"/>
        <v>1.6159496874948664E-2</v>
      </c>
      <c r="G40" s="9">
        <f t="shared" si="3"/>
        <v>6.6159496874948598E-2</v>
      </c>
    </row>
    <row r="41" spans="1:7" x14ac:dyDescent="0.25">
      <c r="A41" s="7">
        <v>13</v>
      </c>
      <c r="B41" s="9">
        <f>SMALL('Data Rasio Keuangan'!$F$53:$F$72,13)</f>
        <v>0.44280000000000003</v>
      </c>
      <c r="C41" s="9">
        <f>(13-1)/20</f>
        <v>0.6</v>
      </c>
      <c r="D41" s="9">
        <f>13/20</f>
        <v>0.65</v>
      </c>
      <c r="E41" s="9">
        <f>NORMDIST(B41,$J28,$J29,TRUE())</f>
        <v>0.62037550662761276</v>
      </c>
      <c r="F41" s="9">
        <f t="shared" si="2"/>
        <v>2.9624493372387262E-2</v>
      </c>
      <c r="G41" s="9">
        <f t="shared" si="3"/>
        <v>2.0375506627612783E-2</v>
      </c>
    </row>
    <row r="42" spans="1:7" x14ac:dyDescent="0.25">
      <c r="A42" s="7">
        <v>14</v>
      </c>
      <c r="B42" s="9">
        <f>SMALL('Data Rasio Keuangan'!$F$53:$F$72,14)</f>
        <v>0.48609999999999998</v>
      </c>
      <c r="C42" s="9">
        <f>(14-1)/20</f>
        <v>0.65</v>
      </c>
      <c r="D42" s="9">
        <f>14/20</f>
        <v>0.7</v>
      </c>
      <c r="E42" s="9">
        <f>NORMDIST(B42,$J28,$J29,TRUE())</f>
        <v>0.65770788371198008</v>
      </c>
      <c r="F42" s="9">
        <f t="shared" si="2"/>
        <v>4.2292116288019876E-2</v>
      </c>
      <c r="G42" s="9">
        <f t="shared" si="3"/>
        <v>7.707883711980057E-3</v>
      </c>
    </row>
    <row r="43" spans="1:7" x14ac:dyDescent="0.25">
      <c r="A43" s="7">
        <v>15</v>
      </c>
      <c r="B43" s="9">
        <f>SMALL('Data Rasio Keuangan'!$F$53:$F$72,15)</f>
        <v>0.51290000000000002</v>
      </c>
      <c r="C43" s="9">
        <f>(15-1)/20</f>
        <v>0.7</v>
      </c>
      <c r="D43" s="9">
        <f>15/20</f>
        <v>0.75</v>
      </c>
      <c r="E43" s="9">
        <f>NORMDIST(B43,$J28,$J29,TRUE())</f>
        <v>0.68009110775880022</v>
      </c>
      <c r="F43" s="9">
        <f t="shared" si="2"/>
        <v>6.9908892241199783E-2</v>
      </c>
      <c r="G43" s="9">
        <f t="shared" si="3"/>
        <v>1.9908892241199738E-2</v>
      </c>
    </row>
    <row r="44" spans="1:7" x14ac:dyDescent="0.25">
      <c r="A44" s="7">
        <v>16</v>
      </c>
      <c r="B44" s="9">
        <f>SMALL('Data Rasio Keuangan'!$F$53:$F$72,16)</f>
        <v>0.54520000000000002</v>
      </c>
      <c r="C44" s="9">
        <f>(16-1)/20</f>
        <v>0.75</v>
      </c>
      <c r="D44" s="9">
        <f>16/20</f>
        <v>0.8</v>
      </c>
      <c r="E44" s="9">
        <f>NORMDIST(B44,$J28,$J29,TRUE())</f>
        <v>0.70621533365074263</v>
      </c>
      <c r="F44" s="9">
        <f t="shared" si="2"/>
        <v>9.3784666349257417E-2</v>
      </c>
      <c r="G44" s="9">
        <f t="shared" si="3"/>
        <v>4.3784666349257373E-2</v>
      </c>
    </row>
    <row r="45" spans="1:7" x14ac:dyDescent="0.25">
      <c r="A45" s="7">
        <v>17</v>
      </c>
      <c r="B45" s="9">
        <f>SMALL('Data Rasio Keuangan'!$F$53:$F$72,17)</f>
        <v>0.56379999999999997</v>
      </c>
      <c r="C45" s="9">
        <f>(17-1)/20</f>
        <v>0.8</v>
      </c>
      <c r="D45" s="9">
        <f>17/20</f>
        <v>0.85</v>
      </c>
      <c r="E45" s="9">
        <f>NORMDIST(B45,$J28,$J29,TRUE())</f>
        <v>0.72079666447590696</v>
      </c>
      <c r="F45" s="9">
        <f t="shared" si="2"/>
        <v>0.12920333552409302</v>
      </c>
      <c r="G45" s="9">
        <f t="shared" si="3"/>
        <v>7.9203335524093088E-2</v>
      </c>
    </row>
    <row r="46" spans="1:7" x14ac:dyDescent="0.25">
      <c r="A46" s="7">
        <v>18</v>
      </c>
      <c r="B46" s="9">
        <f>SMALL('Data Rasio Keuangan'!$F$53:$F$72,18)</f>
        <v>0.58589999999999998</v>
      </c>
      <c r="C46" s="9">
        <f>(18-1)/20</f>
        <v>0.85</v>
      </c>
      <c r="D46" s="9">
        <f>18/20</f>
        <v>0.9</v>
      </c>
      <c r="E46" s="9">
        <f>NORMDIST(B46,$J28,$J29,TRUE())</f>
        <v>0.73765109708018028</v>
      </c>
      <c r="F46" s="9">
        <f t="shared" si="2"/>
        <v>0.16234890291981974</v>
      </c>
      <c r="G46" s="9">
        <f t="shared" si="3"/>
        <v>0.11234890291981969</v>
      </c>
    </row>
    <row r="47" spans="1:7" x14ac:dyDescent="0.25">
      <c r="A47" s="7">
        <v>19</v>
      </c>
      <c r="B47" s="9">
        <f>SMALL('Data Rasio Keuangan'!$F$53:$F$72,19)</f>
        <v>0.62260000000000004</v>
      </c>
      <c r="C47" s="9">
        <f>(19-1)/20</f>
        <v>0.9</v>
      </c>
      <c r="D47" s="9">
        <f>19/20</f>
        <v>0.95</v>
      </c>
      <c r="E47" s="9">
        <f>NORMDIST(B47,$J28,$J29,TRUE())</f>
        <v>0.76444213503410285</v>
      </c>
      <c r="F47" s="9">
        <f t="shared" si="2"/>
        <v>0.1855578649658971</v>
      </c>
      <c r="G47" s="9">
        <f t="shared" si="3"/>
        <v>0.13555786496589717</v>
      </c>
    </row>
    <row r="48" spans="1:7" x14ac:dyDescent="0.25">
      <c r="A48" s="7">
        <v>20</v>
      </c>
      <c r="B48" s="9">
        <f>SMALL('Data Rasio Keuangan'!$F$53:$F$72,20)</f>
        <v>0.63529999999999998</v>
      </c>
      <c r="C48" s="9">
        <f>(20-1)/20</f>
        <v>0.95</v>
      </c>
      <c r="D48" s="9">
        <f>20/20</f>
        <v>1</v>
      </c>
      <c r="E48" s="9">
        <f>NORMDIST(B48,$J28,$J29,TRUE())</f>
        <v>0.77334895641564927</v>
      </c>
      <c r="F48" s="9">
        <f t="shared" si="2"/>
        <v>0.22665104358435073</v>
      </c>
      <c r="G48" s="9">
        <f t="shared" si="3"/>
        <v>0.17665104358435069</v>
      </c>
    </row>
    <row r="49" spans="1:10" x14ac:dyDescent="0.25">
      <c r="A49" s="18" t="s">
        <v>28</v>
      </c>
      <c r="B49" s="20">
        <f>MAX(F29:G48)</f>
        <v>0.2591722448659729</v>
      </c>
    </row>
    <row r="50" spans="1:10" x14ac:dyDescent="0.25">
      <c r="A50" s="18" t="s">
        <v>29</v>
      </c>
      <c r="B50" s="20">
        <v>0.29407</v>
      </c>
      <c r="C50" s="21" t="s">
        <v>30</v>
      </c>
    </row>
    <row r="51" spans="1:10" x14ac:dyDescent="0.25">
      <c r="A51" s="18" t="s">
        <v>31</v>
      </c>
      <c r="B51" s="18" t="str">
        <f>IF(B49&lt;B50,"Normal (H0 gagal ditolak)","Tidak Normal (H0 ditolak)")</f>
        <v>Normal (H0 gagal ditolak)</v>
      </c>
    </row>
    <row r="53" spans="1:10" ht="15.75" x14ac:dyDescent="0.25">
      <c r="A53" s="17" t="s">
        <v>65</v>
      </c>
      <c r="B53" s="17"/>
      <c r="C53" s="17"/>
      <c r="D53" s="17"/>
      <c r="E53" s="17"/>
      <c r="F53" s="17"/>
      <c r="G53" s="17"/>
    </row>
    <row r="54" spans="1:10" x14ac:dyDescent="0.25">
      <c r="A54" s="6" t="s">
        <v>19</v>
      </c>
      <c r="B54" s="6" t="s">
        <v>20</v>
      </c>
      <c r="C54" s="6" t="s">
        <v>21</v>
      </c>
      <c r="D54" s="6" t="s">
        <v>22</v>
      </c>
      <c r="E54" s="6" t="s">
        <v>23</v>
      </c>
      <c r="F54" s="6" t="s">
        <v>24</v>
      </c>
      <c r="G54" s="6" t="s">
        <v>25</v>
      </c>
      <c r="I54" s="18" t="s">
        <v>26</v>
      </c>
      <c r="J54" s="19">
        <f>AVERAGE('Data Rasio Keuangan'!$G$53:$G$72)</f>
        <v>1.0288200000000001</v>
      </c>
    </row>
    <row r="55" spans="1:10" x14ac:dyDescent="0.25">
      <c r="A55" s="7">
        <v>1</v>
      </c>
      <c r="B55" s="9">
        <f>SMALL('Data Rasio Keuangan'!$G$53:$G$72,1)</f>
        <v>-5.3648999999999996</v>
      </c>
      <c r="C55" s="9">
        <f>(1-1)/20</f>
        <v>0</v>
      </c>
      <c r="D55" s="9">
        <f>1/20</f>
        <v>0.05</v>
      </c>
      <c r="E55" s="9">
        <f>NORMDIST(B55,$J54,$J55,TRUE())</f>
        <v>3.5819205498570733E-5</v>
      </c>
      <c r="F55" s="9">
        <f t="shared" ref="F55:F74" si="4">ABS(D55-E55)</f>
        <v>4.9964180794501434E-2</v>
      </c>
      <c r="G55" s="9">
        <f t="shared" ref="G55:G74" si="5">ABS(E55-C55)</f>
        <v>3.5819205498570733E-5</v>
      </c>
      <c r="I55" s="18" t="s">
        <v>27</v>
      </c>
      <c r="J55" s="19">
        <f>STDEV('Data Rasio Keuangan'!$G$53:$G$72)</f>
        <v>1.6101934034211707</v>
      </c>
    </row>
    <row r="56" spans="1:10" x14ac:dyDescent="0.25">
      <c r="A56" s="7">
        <v>2</v>
      </c>
      <c r="B56" s="9">
        <f>SMALL('Data Rasio Keuangan'!$G$53:$G$72,2)</f>
        <v>4.3900000000000002E-2</v>
      </c>
      <c r="C56" s="9">
        <f>(2-1)/20</f>
        <v>0.05</v>
      </c>
      <c r="D56" s="9">
        <f>2/20</f>
        <v>0.1</v>
      </c>
      <c r="E56" s="9">
        <f>NORMDIST(B56,$J54,$J55,TRUE())</f>
        <v>0.27037538562338459</v>
      </c>
      <c r="F56" s="9">
        <f t="shared" si="4"/>
        <v>0.17037538562338458</v>
      </c>
      <c r="G56" s="9">
        <f t="shared" si="5"/>
        <v>0.2203753856233846</v>
      </c>
    </row>
    <row r="57" spans="1:10" x14ac:dyDescent="0.25">
      <c r="A57" s="7">
        <v>3</v>
      </c>
      <c r="B57" s="9">
        <f>SMALL('Data Rasio Keuangan'!$G$53:$G$72,3)</f>
        <v>0.4955</v>
      </c>
      <c r="C57" s="9">
        <f>(3-1)/20</f>
        <v>0.1</v>
      </c>
      <c r="D57" s="9">
        <f>3/20</f>
        <v>0.15</v>
      </c>
      <c r="E57" s="9">
        <f>NORMDIST(B57,$J54,$J55,TRUE())</f>
        <v>0.37024109417191142</v>
      </c>
      <c r="F57" s="9">
        <f t="shared" si="4"/>
        <v>0.22024109417191143</v>
      </c>
      <c r="G57" s="9">
        <f t="shared" si="5"/>
        <v>0.27024109417191144</v>
      </c>
    </row>
    <row r="58" spans="1:10" x14ac:dyDescent="0.25">
      <c r="A58" s="7">
        <v>4</v>
      </c>
      <c r="B58" s="9">
        <f>SMALL('Data Rasio Keuangan'!$G$53:$G$72,4)</f>
        <v>0.68720000000000003</v>
      </c>
      <c r="C58" s="9">
        <f>(4-1)/20</f>
        <v>0.15</v>
      </c>
      <c r="D58" s="9">
        <f>4/20</f>
        <v>0.2</v>
      </c>
      <c r="E58" s="9">
        <f>NORMDIST(B58,$J54,$J55,TRUE())</f>
        <v>0.41599077458354794</v>
      </c>
      <c r="F58" s="9">
        <f t="shared" si="4"/>
        <v>0.21599077458354793</v>
      </c>
      <c r="G58" s="9">
        <f t="shared" si="5"/>
        <v>0.26599077458354792</v>
      </c>
    </row>
    <row r="59" spans="1:10" x14ac:dyDescent="0.25">
      <c r="A59" s="7">
        <v>5</v>
      </c>
      <c r="B59" s="9">
        <f>SMALL('Data Rasio Keuangan'!$G$53:$G$72,5)</f>
        <v>0.76529999999999998</v>
      </c>
      <c r="C59" s="9">
        <f>(5-1)/20</f>
        <v>0.2</v>
      </c>
      <c r="D59" s="9">
        <f>5/20</f>
        <v>0.25</v>
      </c>
      <c r="E59" s="9">
        <f>NORMDIST(B59,$J54,$J55,TRUE())</f>
        <v>0.43500044369015939</v>
      </c>
      <c r="F59" s="9">
        <f t="shared" si="4"/>
        <v>0.18500044369015939</v>
      </c>
      <c r="G59" s="9">
        <f t="shared" si="5"/>
        <v>0.23500044369015938</v>
      </c>
    </row>
    <row r="60" spans="1:10" x14ac:dyDescent="0.25">
      <c r="A60" s="7">
        <v>6</v>
      </c>
      <c r="B60" s="9">
        <f>SMALL('Data Rasio Keuangan'!$G$53:$G$72,6)</f>
        <v>0.95530000000000004</v>
      </c>
      <c r="C60" s="9">
        <f>(6-1)/20</f>
        <v>0.25</v>
      </c>
      <c r="D60" s="9">
        <f>6/20</f>
        <v>0.3</v>
      </c>
      <c r="E60" s="9">
        <f>NORMDIST(B60,$J54,$J55,TRUE())</f>
        <v>0.48179097708259627</v>
      </c>
      <c r="F60" s="9">
        <f t="shared" si="4"/>
        <v>0.18179097708259628</v>
      </c>
      <c r="G60" s="9">
        <f t="shared" si="5"/>
        <v>0.23179097708259627</v>
      </c>
    </row>
    <row r="61" spans="1:10" x14ac:dyDescent="0.25">
      <c r="A61" s="7">
        <v>7</v>
      </c>
      <c r="B61" s="9">
        <f>SMALL('Data Rasio Keuangan'!$G$53:$G$72,7)</f>
        <v>1.1446000000000001</v>
      </c>
      <c r="C61" s="9">
        <f>(7-1)/20</f>
        <v>0.3</v>
      </c>
      <c r="D61" s="9">
        <f>7/20</f>
        <v>0.35</v>
      </c>
      <c r="E61" s="9">
        <f>NORMDIST(B61,$J54,$J55,TRUE())</f>
        <v>0.52866100812231176</v>
      </c>
      <c r="F61" s="9">
        <f t="shared" si="4"/>
        <v>0.17866100812231178</v>
      </c>
      <c r="G61" s="9">
        <f t="shared" si="5"/>
        <v>0.22866100812231177</v>
      </c>
    </row>
    <row r="62" spans="1:10" x14ac:dyDescent="0.25">
      <c r="A62" s="7">
        <v>8</v>
      </c>
      <c r="B62" s="9">
        <f>SMALL('Data Rasio Keuangan'!$G$53:$G$72,8)</f>
        <v>1.2018</v>
      </c>
      <c r="C62" s="9">
        <f>(8-1)/20</f>
        <v>0.35</v>
      </c>
      <c r="D62" s="9">
        <f>8/20</f>
        <v>0.4</v>
      </c>
      <c r="E62" s="9">
        <f>NORMDIST(B62,$J54,$J55,TRUE())</f>
        <v>0.54277531411502822</v>
      </c>
      <c r="F62" s="9">
        <f t="shared" si="4"/>
        <v>0.1427753141150282</v>
      </c>
      <c r="G62" s="9">
        <f t="shared" si="5"/>
        <v>0.19277531411502824</v>
      </c>
    </row>
    <row r="63" spans="1:10" x14ac:dyDescent="0.25">
      <c r="A63" s="7">
        <v>9</v>
      </c>
      <c r="B63" s="9">
        <f>SMALL('Data Rasio Keuangan'!$G$53:$G$72,9)</f>
        <v>1.3306</v>
      </c>
      <c r="C63" s="9">
        <f>(9-1)/20</f>
        <v>0.4</v>
      </c>
      <c r="D63" s="9">
        <f>9/20</f>
        <v>0.45</v>
      </c>
      <c r="E63" s="9">
        <f>NORMDIST(B63,$J54,$J55,TRUE())</f>
        <v>0.5743337327710315</v>
      </c>
      <c r="F63" s="9">
        <f t="shared" si="4"/>
        <v>0.12433373277103149</v>
      </c>
      <c r="G63" s="9">
        <f t="shared" si="5"/>
        <v>0.17433373277103148</v>
      </c>
    </row>
    <row r="64" spans="1:10" x14ac:dyDescent="0.25">
      <c r="A64" s="7">
        <v>10</v>
      </c>
      <c r="B64" s="9">
        <f>SMALL('Data Rasio Keuangan'!$G$53:$G$72,10)</f>
        <v>1.3509</v>
      </c>
      <c r="C64" s="9">
        <f>(10-1)/20</f>
        <v>0.45</v>
      </c>
      <c r="D64" s="9">
        <f>10/20</f>
        <v>0.5</v>
      </c>
      <c r="E64" s="9">
        <f>NORMDIST(B64,$J54,$J55,TRUE())</f>
        <v>0.57926974399461173</v>
      </c>
      <c r="F64" s="9">
        <f t="shared" si="4"/>
        <v>7.926974399461173E-2</v>
      </c>
      <c r="G64" s="9">
        <f t="shared" si="5"/>
        <v>0.12926974399461172</v>
      </c>
    </row>
    <row r="65" spans="1:10" x14ac:dyDescent="0.25">
      <c r="A65" s="7">
        <v>11</v>
      </c>
      <c r="B65" s="9">
        <f>SMALL('Data Rasio Keuangan'!$G$53:$G$72,11)</f>
        <v>1.4104000000000001</v>
      </c>
      <c r="C65" s="9">
        <f>(11-1)/20</f>
        <v>0.5</v>
      </c>
      <c r="D65" s="9">
        <f>11/20</f>
        <v>0.55000000000000004</v>
      </c>
      <c r="E65" s="9">
        <f>NORMDIST(B65,$J54,$J55,TRUE())</f>
        <v>0.59366297184309302</v>
      </c>
      <c r="F65" s="9">
        <f t="shared" si="4"/>
        <v>4.3662971843092979E-2</v>
      </c>
      <c r="G65" s="9">
        <f t="shared" si="5"/>
        <v>9.3662971843093024E-2</v>
      </c>
    </row>
    <row r="66" spans="1:10" x14ac:dyDescent="0.25">
      <c r="A66" s="7">
        <v>12</v>
      </c>
      <c r="B66" s="9">
        <f>SMALL('Data Rasio Keuangan'!$G$53:$G$72,12)</f>
        <v>1.5048999999999999</v>
      </c>
      <c r="C66" s="9">
        <f>(12-1)/20</f>
        <v>0.55000000000000004</v>
      </c>
      <c r="D66" s="9">
        <f>12/20</f>
        <v>0.6</v>
      </c>
      <c r="E66" s="9">
        <f>NORMDIST(B66,$J54,$J55,TRUE())</f>
        <v>0.61625754968184521</v>
      </c>
      <c r="F66" s="9">
        <f t="shared" si="4"/>
        <v>1.6257549681845229E-2</v>
      </c>
      <c r="G66" s="9">
        <f t="shared" si="5"/>
        <v>6.6257549681845163E-2</v>
      </c>
    </row>
    <row r="67" spans="1:10" x14ac:dyDescent="0.25">
      <c r="A67" s="7">
        <v>13</v>
      </c>
      <c r="B67" s="9">
        <f>SMALL('Data Rasio Keuangan'!$G$53:$G$72,13)</f>
        <v>1.5158</v>
      </c>
      <c r="C67" s="9">
        <f>(13-1)/20</f>
        <v>0.6</v>
      </c>
      <c r="D67" s="9">
        <f>13/20</f>
        <v>0.65</v>
      </c>
      <c r="E67" s="9">
        <f>NORMDIST(B67,$J54,$J55,TRUE())</f>
        <v>0.61884003557431055</v>
      </c>
      <c r="F67" s="9">
        <f t="shared" si="4"/>
        <v>3.1159964425689468E-2</v>
      </c>
      <c r="G67" s="9">
        <f t="shared" si="5"/>
        <v>1.8840035574310576E-2</v>
      </c>
    </row>
    <row r="68" spans="1:10" x14ac:dyDescent="0.25">
      <c r="A68" s="7">
        <v>14</v>
      </c>
      <c r="B68" s="9">
        <f>SMALL('Data Rasio Keuangan'!$G$53:$G$72,14)</f>
        <v>1.6462000000000001</v>
      </c>
      <c r="C68" s="9">
        <f>(14-1)/20</f>
        <v>0.65</v>
      </c>
      <c r="D68" s="9">
        <f>14/20</f>
        <v>0.7</v>
      </c>
      <c r="E68" s="9">
        <f>NORMDIST(B68,$J54,$J55,TRUE())</f>
        <v>0.64929573009372832</v>
      </c>
      <c r="F68" s="9">
        <f t="shared" si="4"/>
        <v>5.0704269906271637E-2</v>
      </c>
      <c r="G68" s="9">
        <f t="shared" si="5"/>
        <v>7.0426990627170394E-4</v>
      </c>
    </row>
    <row r="69" spans="1:10" x14ac:dyDescent="0.25">
      <c r="A69" s="7">
        <v>15</v>
      </c>
      <c r="B69" s="9">
        <f>SMALL('Data Rasio Keuangan'!$G$53:$G$72,15)</f>
        <v>1.6992</v>
      </c>
      <c r="C69" s="9">
        <f>(15-1)/20</f>
        <v>0.7</v>
      </c>
      <c r="D69" s="9">
        <f>15/20</f>
        <v>0.75</v>
      </c>
      <c r="E69" s="9">
        <f>NORMDIST(B69,$J54,$J55,TRUE())</f>
        <v>0.66141758700272379</v>
      </c>
      <c r="F69" s="9">
        <f t="shared" si="4"/>
        <v>8.8582412997276205E-2</v>
      </c>
      <c r="G69" s="9">
        <f t="shared" si="5"/>
        <v>3.8582412997276161E-2</v>
      </c>
    </row>
    <row r="70" spans="1:10" x14ac:dyDescent="0.25">
      <c r="A70" s="7">
        <v>16</v>
      </c>
      <c r="B70" s="9">
        <f>SMALL('Data Rasio Keuangan'!$G$53:$G$72,16)</f>
        <v>1.8464</v>
      </c>
      <c r="C70" s="9">
        <f>(16-1)/20</f>
        <v>0.75</v>
      </c>
      <c r="D70" s="9">
        <f>16/20</f>
        <v>0.8</v>
      </c>
      <c r="E70" s="9">
        <f>NORMDIST(B70,$J54,$J55,TRUE())</f>
        <v>0.69418659705625274</v>
      </c>
      <c r="F70" s="9">
        <f t="shared" si="4"/>
        <v>0.1058134029437473</v>
      </c>
      <c r="G70" s="9">
        <f t="shared" si="5"/>
        <v>5.5813402943747259E-2</v>
      </c>
    </row>
    <row r="71" spans="1:10" x14ac:dyDescent="0.25">
      <c r="A71" s="7">
        <v>17</v>
      </c>
      <c r="B71" s="9">
        <f>SMALL('Data Rasio Keuangan'!$G$53:$G$72,17)</f>
        <v>1.853</v>
      </c>
      <c r="C71" s="9">
        <f>(17-1)/20</f>
        <v>0.8</v>
      </c>
      <c r="D71" s="9">
        <f>17/20</f>
        <v>0.85</v>
      </c>
      <c r="E71" s="9">
        <f>NORMDIST(B71,$J54,$J55,TRUE())</f>
        <v>0.695622547847637</v>
      </c>
      <c r="F71" s="9">
        <f t="shared" si="4"/>
        <v>0.15437745215236298</v>
      </c>
      <c r="G71" s="9">
        <f t="shared" si="5"/>
        <v>0.10437745215236305</v>
      </c>
    </row>
    <row r="72" spans="1:10" x14ac:dyDescent="0.25">
      <c r="A72" s="7">
        <v>18</v>
      </c>
      <c r="B72" s="9">
        <f>SMALL('Data Rasio Keuangan'!$G$53:$G$72,18)</f>
        <v>2.0457000000000001</v>
      </c>
      <c r="C72" s="9">
        <f>(18-1)/20</f>
        <v>0.85</v>
      </c>
      <c r="D72" s="9">
        <f>18/20</f>
        <v>0.9</v>
      </c>
      <c r="E72" s="9">
        <f>NORMDIST(B72,$J54,$J55,TRUE())</f>
        <v>0.7361518758403055</v>
      </c>
      <c r="F72" s="9">
        <f t="shared" si="4"/>
        <v>0.16384812415969452</v>
      </c>
      <c r="G72" s="9">
        <f t="shared" si="5"/>
        <v>0.11384812415969447</v>
      </c>
    </row>
    <row r="73" spans="1:10" x14ac:dyDescent="0.25">
      <c r="A73" s="7">
        <v>19</v>
      </c>
      <c r="B73" s="9">
        <f>SMALL('Data Rasio Keuangan'!$G$53:$G$72,19)</f>
        <v>2.1053000000000002</v>
      </c>
      <c r="C73" s="9">
        <f>(19-1)/20</f>
        <v>0.9</v>
      </c>
      <c r="D73" s="9">
        <f>19/20</f>
        <v>0.95</v>
      </c>
      <c r="E73" s="9">
        <f>NORMDIST(B73,$J54,$J55,TRUE())</f>
        <v>0.74810577916548948</v>
      </c>
      <c r="F73" s="9">
        <f t="shared" si="4"/>
        <v>0.20189422083451047</v>
      </c>
      <c r="G73" s="9">
        <f t="shared" si="5"/>
        <v>0.15189422083451054</v>
      </c>
    </row>
    <row r="74" spans="1:10" x14ac:dyDescent="0.25">
      <c r="A74" s="7">
        <v>20</v>
      </c>
      <c r="B74" s="9">
        <f>SMALL('Data Rasio Keuangan'!$G$53:$G$72,20)</f>
        <v>2.3393000000000002</v>
      </c>
      <c r="C74" s="9">
        <f>(20-1)/20</f>
        <v>0.95</v>
      </c>
      <c r="D74" s="9">
        <f>20/20</f>
        <v>1</v>
      </c>
      <c r="E74" s="9">
        <f>NORMDIST(B74,$J54,$J55,TRUE())</f>
        <v>0.79213884373687637</v>
      </c>
      <c r="F74" s="9">
        <f t="shared" si="4"/>
        <v>0.20786115626312363</v>
      </c>
      <c r="G74" s="9">
        <f t="shared" si="5"/>
        <v>0.15786115626312358</v>
      </c>
    </row>
    <row r="75" spans="1:10" x14ac:dyDescent="0.25">
      <c r="A75" s="18" t="s">
        <v>28</v>
      </c>
      <c r="B75" s="20">
        <f>MAX(F55:G74)</f>
        <v>0.27024109417191144</v>
      </c>
    </row>
    <row r="76" spans="1:10" x14ac:dyDescent="0.25">
      <c r="A76" s="18" t="s">
        <v>29</v>
      </c>
      <c r="B76" s="20">
        <v>0.29407</v>
      </c>
      <c r="C76" s="21" t="s">
        <v>30</v>
      </c>
    </row>
    <row r="77" spans="1:10" x14ac:dyDescent="0.25">
      <c r="A77" s="18" t="s">
        <v>31</v>
      </c>
      <c r="B77" s="18" t="str">
        <f>IF(B75&lt;B76,"Normal (H0 gagal ditolak)","Tidak Normal (H0 ditolak)")</f>
        <v>Normal (H0 gagal ditolak)</v>
      </c>
    </row>
    <row r="79" spans="1:10" ht="15.75" x14ac:dyDescent="0.25">
      <c r="A79" s="17" t="s">
        <v>66</v>
      </c>
      <c r="B79" s="17"/>
      <c r="C79" s="17"/>
      <c r="D79" s="17"/>
      <c r="E79" s="17"/>
      <c r="F79" s="17"/>
      <c r="G79" s="17"/>
    </row>
    <row r="80" spans="1:10" x14ac:dyDescent="0.25">
      <c r="A80" s="6" t="s">
        <v>19</v>
      </c>
      <c r="B80" s="6" t="s">
        <v>20</v>
      </c>
      <c r="C80" s="6" t="s">
        <v>21</v>
      </c>
      <c r="D80" s="6" t="s">
        <v>22</v>
      </c>
      <c r="E80" s="6" t="s">
        <v>23</v>
      </c>
      <c r="F80" s="6" t="s">
        <v>24</v>
      </c>
      <c r="G80" s="6" t="s">
        <v>25</v>
      </c>
      <c r="I80" s="18" t="s">
        <v>26</v>
      </c>
      <c r="J80" s="19">
        <f>AVERAGE('Data Rasio Keuangan'!$H$53:$H$72)</f>
        <v>3.3454699999999997</v>
      </c>
    </row>
    <row r="81" spans="1:10" x14ac:dyDescent="0.25">
      <c r="A81" s="7">
        <v>1</v>
      </c>
      <c r="B81" s="9">
        <f>SMALL('Data Rasio Keuangan'!$H$53:$H$72,1)</f>
        <v>-15.348000000000001</v>
      </c>
      <c r="C81" s="9">
        <f>(1-1)/20</f>
        <v>0</v>
      </c>
      <c r="D81" s="9">
        <f>1/20</f>
        <v>0.05</v>
      </c>
      <c r="E81" s="9">
        <f>NORMDIST(B81,$J80,$J81,TRUE())</f>
        <v>3.8143605638861386E-5</v>
      </c>
      <c r="F81" s="9">
        <f t="shared" ref="F81:F100" si="6">ABS(D81-E81)</f>
        <v>4.996185639436114E-2</v>
      </c>
      <c r="G81" s="9">
        <f t="shared" ref="G81:G100" si="7">ABS(E81-C81)</f>
        <v>3.8143605638861386E-5</v>
      </c>
      <c r="I81" s="18" t="s">
        <v>27</v>
      </c>
      <c r="J81" s="19">
        <f>STDEV('Data Rasio Keuangan'!$H$53:$H$72)</f>
        <v>4.7256161123347615</v>
      </c>
    </row>
    <row r="82" spans="1:10" x14ac:dyDescent="0.25">
      <c r="A82" s="7">
        <v>2</v>
      </c>
      <c r="B82" s="9">
        <f>SMALL('Data Rasio Keuangan'!$H$53:$H$72,2)</f>
        <v>0.13489999999999999</v>
      </c>
      <c r="C82" s="9">
        <f>(2-1)/20</f>
        <v>0.05</v>
      </c>
      <c r="D82" s="9">
        <f>2/20</f>
        <v>0.1</v>
      </c>
      <c r="E82" s="9">
        <f>NORMDIST(B82,$J80,$J81,TRUE())</f>
        <v>0.24844313555827824</v>
      </c>
      <c r="F82" s="9">
        <f t="shared" si="6"/>
        <v>0.14844313555827823</v>
      </c>
      <c r="G82" s="9">
        <f t="shared" si="7"/>
        <v>0.19844313555827825</v>
      </c>
    </row>
    <row r="83" spans="1:10" x14ac:dyDescent="0.25">
      <c r="A83" s="7">
        <v>3</v>
      </c>
      <c r="B83" s="9">
        <f>SMALL('Data Rasio Keuangan'!$H$53:$H$72,3)</f>
        <v>1.6984999999999999</v>
      </c>
      <c r="C83" s="9">
        <f>(3-1)/20</f>
        <v>0.1</v>
      </c>
      <c r="D83" s="9">
        <f>3/20</f>
        <v>0.15</v>
      </c>
      <c r="E83" s="9">
        <f>NORMDIST(B83,$J80,$J81,TRUE())</f>
        <v>0.36372498543874865</v>
      </c>
      <c r="F83" s="9">
        <f t="shared" si="6"/>
        <v>0.21372498543874865</v>
      </c>
      <c r="G83" s="9">
        <f t="shared" si="7"/>
        <v>0.26372498543874867</v>
      </c>
    </row>
    <row r="84" spans="1:10" x14ac:dyDescent="0.25">
      <c r="A84" s="7">
        <v>4</v>
      </c>
      <c r="B84" s="9">
        <f>SMALL('Data Rasio Keuangan'!$H$53:$H$72,4)</f>
        <v>2.0636000000000001</v>
      </c>
      <c r="C84" s="9">
        <f>(4-1)/20</f>
        <v>0.15</v>
      </c>
      <c r="D84" s="9">
        <f>4/20</f>
        <v>0.2</v>
      </c>
      <c r="E84" s="9">
        <f>NORMDIST(B84,$J80,$J81,TRUE())</f>
        <v>0.39309558540091694</v>
      </c>
      <c r="F84" s="9">
        <f t="shared" si="6"/>
        <v>0.19309558540091692</v>
      </c>
      <c r="G84" s="9">
        <f t="shared" si="7"/>
        <v>0.24309558540091694</v>
      </c>
    </row>
    <row r="85" spans="1:10" x14ac:dyDescent="0.25">
      <c r="A85" s="7">
        <v>5</v>
      </c>
      <c r="B85" s="9">
        <f>SMALL('Data Rasio Keuangan'!$H$53:$H$72,5)</f>
        <v>2.6608000000000001</v>
      </c>
      <c r="C85" s="9">
        <f>(5-1)/20</f>
        <v>0.2</v>
      </c>
      <c r="D85" s="9">
        <f>5/20</f>
        <v>0.25</v>
      </c>
      <c r="E85" s="9">
        <f>NORMDIST(B85,$J80,$J81,TRUE())</f>
        <v>0.44240090925246228</v>
      </c>
      <c r="F85" s="9">
        <f t="shared" si="6"/>
        <v>0.19240090925246228</v>
      </c>
      <c r="G85" s="9">
        <f t="shared" si="7"/>
        <v>0.24240090925246227</v>
      </c>
    </row>
    <row r="86" spans="1:10" x14ac:dyDescent="0.25">
      <c r="A86" s="7">
        <v>6</v>
      </c>
      <c r="B86" s="9">
        <f>SMALL('Data Rasio Keuangan'!$H$53:$H$72,6)</f>
        <v>3.0411999999999999</v>
      </c>
      <c r="C86" s="9">
        <f>(6-1)/20</f>
        <v>0.25</v>
      </c>
      <c r="D86" s="9">
        <f>6/20</f>
        <v>0.3</v>
      </c>
      <c r="E86" s="9">
        <f>NORMDIST(B86,$J80,$J81,TRUE())</f>
        <v>0.47433089263854056</v>
      </c>
      <c r="F86" s="9">
        <f t="shared" si="6"/>
        <v>0.17433089263854057</v>
      </c>
      <c r="G86" s="9">
        <f t="shared" si="7"/>
        <v>0.22433089263854056</v>
      </c>
    </row>
    <row r="87" spans="1:10" x14ac:dyDescent="0.25">
      <c r="A87" s="7">
        <v>7</v>
      </c>
      <c r="B87" s="9">
        <f>SMALL('Data Rasio Keuangan'!$H$53:$H$72,7)</f>
        <v>3.5110999999999999</v>
      </c>
      <c r="C87" s="9">
        <f>(7-1)/20</f>
        <v>0.3</v>
      </c>
      <c r="D87" s="9">
        <f>7/20</f>
        <v>0.35</v>
      </c>
      <c r="E87" s="9">
        <f>NORMDIST(B87,$J80,$J81,TRUE())</f>
        <v>0.51397982443673096</v>
      </c>
      <c r="F87" s="9">
        <f t="shared" si="6"/>
        <v>0.16397982443673098</v>
      </c>
      <c r="G87" s="9">
        <f t="shared" si="7"/>
        <v>0.21397982443673097</v>
      </c>
    </row>
    <row r="88" spans="1:10" x14ac:dyDescent="0.25">
      <c r="A88" s="7">
        <v>8</v>
      </c>
      <c r="B88" s="9">
        <f>SMALL('Data Rasio Keuangan'!$H$53:$H$72,8)</f>
        <v>3.9049999999999998</v>
      </c>
      <c r="C88" s="9">
        <f>(8-1)/20</f>
        <v>0.35</v>
      </c>
      <c r="D88" s="9">
        <f>8/20</f>
        <v>0.4</v>
      </c>
      <c r="E88" s="9">
        <f>NORMDIST(B88,$J80,$J81,TRUE())</f>
        <v>0.54712606663085739</v>
      </c>
      <c r="F88" s="9">
        <f t="shared" si="6"/>
        <v>0.14712606663085737</v>
      </c>
      <c r="G88" s="9">
        <f t="shared" si="7"/>
        <v>0.19712606663085741</v>
      </c>
    </row>
    <row r="89" spans="1:10" x14ac:dyDescent="0.25">
      <c r="A89" s="7">
        <v>9</v>
      </c>
      <c r="B89" s="9">
        <f>SMALL('Data Rasio Keuangan'!$H$53:$H$72,9)</f>
        <v>4.3987999999999996</v>
      </c>
      <c r="C89" s="9">
        <f>(9-1)/20</f>
        <v>0.4</v>
      </c>
      <c r="D89" s="9">
        <f>9/20</f>
        <v>0.45</v>
      </c>
      <c r="E89" s="9">
        <f>NORMDIST(B89,$J80,$J81,TRUE())</f>
        <v>0.5881925221881954</v>
      </c>
      <c r="F89" s="9">
        <f t="shared" si="6"/>
        <v>0.13819252218819539</v>
      </c>
      <c r="G89" s="9">
        <f t="shared" si="7"/>
        <v>0.18819252218819538</v>
      </c>
    </row>
    <row r="90" spans="1:10" x14ac:dyDescent="0.25">
      <c r="A90" s="7">
        <v>10</v>
      </c>
      <c r="B90" s="9">
        <f>SMALL('Data Rasio Keuangan'!$H$53:$H$72,10)</f>
        <v>4.4435000000000002</v>
      </c>
      <c r="C90" s="9">
        <f>(10-1)/20</f>
        <v>0.45</v>
      </c>
      <c r="D90" s="9">
        <f>10/20</f>
        <v>0.5</v>
      </c>
      <c r="E90" s="9">
        <f>NORMDIST(B90,$J80,$J81,TRUE())</f>
        <v>0.59186962938884813</v>
      </c>
      <c r="F90" s="9">
        <f t="shared" si="6"/>
        <v>9.1869629388848129E-2</v>
      </c>
      <c r="G90" s="9">
        <f t="shared" si="7"/>
        <v>0.14186962938884812</v>
      </c>
    </row>
    <row r="91" spans="1:10" x14ac:dyDescent="0.25">
      <c r="A91" s="7">
        <v>11</v>
      </c>
      <c r="B91" s="9">
        <f>SMALL('Data Rasio Keuangan'!$H$53:$H$72,11)</f>
        <v>4.4715999999999996</v>
      </c>
      <c r="C91" s="9">
        <f>(11-1)/20</f>
        <v>0.5</v>
      </c>
      <c r="D91" s="9">
        <f>11/20</f>
        <v>0.55000000000000004</v>
      </c>
      <c r="E91" s="9">
        <f>NORMDIST(B91,$J80,$J81,TRUE())</f>
        <v>0.59417707602888004</v>
      </c>
      <c r="F91" s="9">
        <f t="shared" si="6"/>
        <v>4.4177076028879991E-2</v>
      </c>
      <c r="G91" s="9">
        <f t="shared" si="7"/>
        <v>9.4177076028880036E-2</v>
      </c>
    </row>
    <row r="92" spans="1:10" x14ac:dyDescent="0.25">
      <c r="A92" s="7">
        <v>12</v>
      </c>
      <c r="B92" s="9">
        <f>SMALL('Data Rasio Keuangan'!$H$53:$H$72,12)</f>
        <v>4.8708999999999998</v>
      </c>
      <c r="C92" s="9">
        <f>(12-1)/20</f>
        <v>0.55000000000000004</v>
      </c>
      <c r="D92" s="9">
        <f>12/20</f>
        <v>0.6</v>
      </c>
      <c r="E92" s="9">
        <f>NORMDIST(B92,$J80,$J81,TRUE())</f>
        <v>0.62657673316348683</v>
      </c>
      <c r="F92" s="9">
        <f t="shared" si="6"/>
        <v>2.6576733163486854E-2</v>
      </c>
      <c r="G92" s="9">
        <f t="shared" si="7"/>
        <v>7.6576733163486788E-2</v>
      </c>
    </row>
    <row r="93" spans="1:10" x14ac:dyDescent="0.25">
      <c r="A93" s="7">
        <v>13</v>
      </c>
      <c r="B93" s="9">
        <f>SMALL('Data Rasio Keuangan'!$H$53:$H$72,13)</f>
        <v>5.1281999999999996</v>
      </c>
      <c r="C93" s="9">
        <f>(13-1)/20</f>
        <v>0.6</v>
      </c>
      <c r="D93" s="9">
        <f>13/20</f>
        <v>0.65</v>
      </c>
      <c r="E93" s="9">
        <f>NORMDIST(B93,$J80,$J81,TRUE())</f>
        <v>0.64700540473839308</v>
      </c>
      <c r="F93" s="9">
        <f t="shared" si="6"/>
        <v>2.9945952616069471E-3</v>
      </c>
      <c r="G93" s="9">
        <f t="shared" si="7"/>
        <v>4.7005404738393097E-2</v>
      </c>
    </row>
    <row r="94" spans="1:10" x14ac:dyDescent="0.25">
      <c r="A94" s="7">
        <v>14</v>
      </c>
      <c r="B94" s="9">
        <f>SMALL('Data Rasio Keuangan'!$H$53:$H$72,14)</f>
        <v>5.4718999999999998</v>
      </c>
      <c r="C94" s="9">
        <f>(14-1)/20</f>
        <v>0.65</v>
      </c>
      <c r="D94" s="9">
        <f>14/20</f>
        <v>0.7</v>
      </c>
      <c r="E94" s="9">
        <f>NORMDIST(B94,$J80,$J81,TRUE())</f>
        <v>0.67363736023340604</v>
      </c>
      <c r="F94" s="9">
        <f t="shared" si="6"/>
        <v>2.636263976659392E-2</v>
      </c>
      <c r="G94" s="9">
        <f t="shared" si="7"/>
        <v>2.3637360233406013E-2</v>
      </c>
    </row>
    <row r="95" spans="1:10" x14ac:dyDescent="0.25">
      <c r="A95" s="7">
        <v>15</v>
      </c>
      <c r="B95" s="9">
        <f>SMALL('Data Rasio Keuangan'!$H$53:$H$72,15)</f>
        <v>5.5628000000000002</v>
      </c>
      <c r="C95" s="9">
        <f>(15-1)/20</f>
        <v>0.7</v>
      </c>
      <c r="D95" s="9">
        <f>15/20</f>
        <v>0.75</v>
      </c>
      <c r="E95" s="9">
        <f>NORMDIST(B95,$J80,$J81,TRUE())</f>
        <v>0.68054202033984745</v>
      </c>
      <c r="F95" s="9">
        <f t="shared" si="6"/>
        <v>6.9457979660152547E-2</v>
      </c>
      <c r="G95" s="9">
        <f t="shared" si="7"/>
        <v>1.9457979660152502E-2</v>
      </c>
    </row>
    <row r="96" spans="1:10" x14ac:dyDescent="0.25">
      <c r="A96" s="7">
        <v>16</v>
      </c>
      <c r="B96" s="9">
        <f>SMALL('Data Rasio Keuangan'!$H$53:$H$72,16)</f>
        <v>5.6429</v>
      </c>
      <c r="C96" s="9">
        <f>(16-1)/20</f>
        <v>0.75</v>
      </c>
      <c r="D96" s="9">
        <f>16/20</f>
        <v>0.8</v>
      </c>
      <c r="E96" s="9">
        <f>NORMDIST(B96,$J80,$J81,TRUE())</f>
        <v>0.68657497100755993</v>
      </c>
      <c r="F96" s="9">
        <f t="shared" si="6"/>
        <v>0.11342502899244011</v>
      </c>
      <c r="G96" s="9">
        <f t="shared" si="7"/>
        <v>6.3425028992440069E-2</v>
      </c>
    </row>
    <row r="97" spans="1:10" x14ac:dyDescent="0.25">
      <c r="A97" s="7">
        <v>17</v>
      </c>
      <c r="B97" s="9">
        <f>SMALL('Data Rasio Keuangan'!$H$53:$H$72,17)</f>
        <v>5.8757999999999999</v>
      </c>
      <c r="C97" s="9">
        <f>(17-1)/20</f>
        <v>0.8</v>
      </c>
      <c r="D97" s="9">
        <f>17/20</f>
        <v>0.85</v>
      </c>
      <c r="E97" s="9">
        <f>NORMDIST(B97,$J80,$J81,TRUE())</f>
        <v>0.70383055437635167</v>
      </c>
      <c r="F97" s="9">
        <f t="shared" si="6"/>
        <v>0.14616944562364831</v>
      </c>
      <c r="G97" s="9">
        <f t="shared" si="7"/>
        <v>9.6169445623648375E-2</v>
      </c>
    </row>
    <row r="98" spans="1:10" x14ac:dyDescent="0.25">
      <c r="A98" s="7">
        <v>18</v>
      </c>
      <c r="B98" s="9">
        <f>SMALL('Data Rasio Keuangan'!$H$53:$H$72,18)</f>
        <v>6.4108000000000001</v>
      </c>
      <c r="C98" s="9">
        <f>(18-1)/20</f>
        <v>0.85</v>
      </c>
      <c r="D98" s="9">
        <f>18/20</f>
        <v>0.9</v>
      </c>
      <c r="E98" s="9">
        <f>NORMDIST(B98,$J80,$J81,TRUE())</f>
        <v>0.74172172859896979</v>
      </c>
      <c r="F98" s="9">
        <f t="shared" si="6"/>
        <v>0.15827827140103023</v>
      </c>
      <c r="G98" s="9">
        <f t="shared" si="7"/>
        <v>0.10827827140103019</v>
      </c>
    </row>
    <row r="99" spans="1:10" x14ac:dyDescent="0.25">
      <c r="A99" s="7">
        <v>19</v>
      </c>
      <c r="B99" s="9">
        <f>SMALL('Data Rasio Keuangan'!$H$53:$H$72,19)</f>
        <v>6.4737</v>
      </c>
      <c r="C99" s="9">
        <f>(19-1)/20</f>
        <v>0.9</v>
      </c>
      <c r="D99" s="9">
        <f>19/20</f>
        <v>0.95</v>
      </c>
      <c r="E99" s="9">
        <f>NORMDIST(B99,$J80,$J81,TRUE())</f>
        <v>0.74600571857063525</v>
      </c>
      <c r="F99" s="9">
        <f t="shared" si="6"/>
        <v>0.20399428142936471</v>
      </c>
      <c r="G99" s="9">
        <f t="shared" si="7"/>
        <v>0.15399428142936478</v>
      </c>
    </row>
    <row r="100" spans="1:10" x14ac:dyDescent="0.25">
      <c r="A100" s="7">
        <v>20</v>
      </c>
      <c r="B100" s="9">
        <f>SMALL('Data Rasio Keuangan'!$H$53:$H$72,20)</f>
        <v>6.4913999999999996</v>
      </c>
      <c r="C100" s="9">
        <f>(20-1)/20</f>
        <v>0.95</v>
      </c>
      <c r="D100" s="9">
        <f>20/20</f>
        <v>1</v>
      </c>
      <c r="E100" s="9">
        <f>NORMDIST(B100,$J80,$J81,TRUE())</f>
        <v>0.74720447207091412</v>
      </c>
      <c r="F100" s="9">
        <f t="shared" si="6"/>
        <v>0.25279552792908588</v>
      </c>
      <c r="G100" s="9">
        <f t="shared" si="7"/>
        <v>0.20279552792908584</v>
      </c>
    </row>
    <row r="101" spans="1:10" x14ac:dyDescent="0.25">
      <c r="A101" s="18" t="s">
        <v>28</v>
      </c>
      <c r="B101" s="20">
        <f>MAX(F81:G100)</f>
        <v>0.26372498543874867</v>
      </c>
    </row>
    <row r="102" spans="1:10" x14ac:dyDescent="0.25">
      <c r="A102" s="18" t="s">
        <v>29</v>
      </c>
      <c r="B102" s="20">
        <v>0.29407</v>
      </c>
      <c r="C102" s="21" t="s">
        <v>30</v>
      </c>
    </row>
    <row r="103" spans="1:10" x14ac:dyDescent="0.25">
      <c r="A103" s="18" t="s">
        <v>31</v>
      </c>
      <c r="B103" s="18" t="str">
        <f>IF(B101&lt;B102,"Normal (H0 gagal ditolak)","Tidak Normal (H0 ditolak)")</f>
        <v>Normal (H0 gagal ditolak)</v>
      </c>
    </row>
    <row r="105" spans="1:10" ht="15.75" x14ac:dyDescent="0.25">
      <c r="A105" s="17" t="s">
        <v>67</v>
      </c>
      <c r="B105" s="17"/>
      <c r="C105" s="17"/>
      <c r="D105" s="17"/>
      <c r="E105" s="17"/>
      <c r="F105" s="17"/>
      <c r="G105" s="17"/>
    </row>
    <row r="106" spans="1:10" x14ac:dyDescent="0.25">
      <c r="A106" s="6" t="s">
        <v>19</v>
      </c>
      <c r="B106" s="6" t="s">
        <v>20</v>
      </c>
      <c r="C106" s="6" t="s">
        <v>21</v>
      </c>
      <c r="D106" s="6" t="s">
        <v>22</v>
      </c>
      <c r="E106" s="6" t="s">
        <v>23</v>
      </c>
      <c r="F106" s="6" t="s">
        <v>24</v>
      </c>
      <c r="G106" s="6" t="s">
        <v>25</v>
      </c>
      <c r="I106" s="18" t="s">
        <v>26</v>
      </c>
      <c r="J106" s="19">
        <f>AVERAGE('Data Rasio Keuangan'!$I$53:$I$72)</f>
        <v>178.27900499999998</v>
      </c>
    </row>
    <row r="107" spans="1:10" x14ac:dyDescent="0.25">
      <c r="A107" s="7">
        <v>1</v>
      </c>
      <c r="B107" s="9">
        <f>SMALL('Data Rasio Keuangan'!$I$53:$I$72,1)</f>
        <v>157.1044</v>
      </c>
      <c r="C107" s="9">
        <f>(1-1)/20</f>
        <v>0</v>
      </c>
      <c r="D107" s="9">
        <f>1/20</f>
        <v>0.05</v>
      </c>
      <c r="E107" s="9">
        <f>NORMDIST(B107,$J106,$J107,TRUE())</f>
        <v>7.5007552493306581E-2</v>
      </c>
      <c r="F107" s="9">
        <f t="shared" ref="F107:F126" si="8">ABS(D107-E107)</f>
        <v>2.5007552493306578E-2</v>
      </c>
      <c r="G107" s="9">
        <f t="shared" ref="G107:G126" si="9">ABS(E107-C107)</f>
        <v>7.5007552493306581E-2</v>
      </c>
      <c r="I107" s="18" t="s">
        <v>27</v>
      </c>
      <c r="J107" s="19">
        <f>STDEV('Data Rasio Keuangan'!$I$53:$I$72)</f>
        <v>14.709917931377742</v>
      </c>
    </row>
    <row r="108" spans="1:10" x14ac:dyDescent="0.25">
      <c r="A108" s="7">
        <v>2</v>
      </c>
      <c r="B108" s="9">
        <f>SMALL('Data Rasio Keuangan'!$I$53:$I$72,2)</f>
        <v>164.1036</v>
      </c>
      <c r="C108" s="9">
        <f>(2-1)/20</f>
        <v>0.05</v>
      </c>
      <c r="D108" s="9">
        <f>2/20</f>
        <v>0.1</v>
      </c>
      <c r="E108" s="9">
        <f>NORMDIST(B108,$J106,$J107,TRUE())</f>
        <v>0.16760743197768471</v>
      </c>
      <c r="F108" s="9">
        <f t="shared" si="8"/>
        <v>6.7607431977684707E-2</v>
      </c>
      <c r="G108" s="9">
        <f t="shared" si="9"/>
        <v>0.11760743197768471</v>
      </c>
    </row>
    <row r="109" spans="1:10" x14ac:dyDescent="0.25">
      <c r="A109" s="7">
        <v>3</v>
      </c>
      <c r="B109" s="9">
        <f>SMALL('Data Rasio Keuangan'!$I$53:$I$72,3)</f>
        <v>165.63939999999999</v>
      </c>
      <c r="C109" s="9">
        <f>(3-1)/20</f>
        <v>0.1</v>
      </c>
      <c r="D109" s="9">
        <f>3/20</f>
        <v>0.15</v>
      </c>
      <c r="E109" s="9">
        <f>NORMDIST(B109,$J106,$J107,TRUE())</f>
        <v>0.1950992763860866</v>
      </c>
      <c r="F109" s="9">
        <f t="shared" si="8"/>
        <v>4.5099276386086601E-2</v>
      </c>
      <c r="G109" s="9">
        <f t="shared" si="9"/>
        <v>9.509927638608659E-2</v>
      </c>
    </row>
    <row r="110" spans="1:10" x14ac:dyDescent="0.25">
      <c r="A110" s="7">
        <v>4</v>
      </c>
      <c r="B110" s="9">
        <f>SMALL('Data Rasio Keuangan'!$I$53:$I$72,4)</f>
        <v>168.1524</v>
      </c>
      <c r="C110" s="9">
        <f>(4-1)/20</f>
        <v>0.15</v>
      </c>
      <c r="D110" s="9">
        <f>4/20</f>
        <v>0.2</v>
      </c>
      <c r="E110" s="9">
        <f>NORMDIST(B110,$J106,$J107,TRUE())</f>
        <v>0.2455940958244282</v>
      </c>
      <c r="F110" s="9">
        <f t="shared" si="8"/>
        <v>4.5594095824428194E-2</v>
      </c>
      <c r="G110" s="9">
        <f t="shared" si="9"/>
        <v>9.559409582442821E-2</v>
      </c>
    </row>
    <row r="111" spans="1:10" x14ac:dyDescent="0.25">
      <c r="A111" s="7">
        <v>5</v>
      </c>
      <c r="B111" s="9">
        <f>SMALL('Data Rasio Keuangan'!$I$53:$I$72,5)</f>
        <v>168.95910000000001</v>
      </c>
      <c r="C111" s="9">
        <f>(5-1)/20</f>
        <v>0.2</v>
      </c>
      <c r="D111" s="9">
        <f>5/20</f>
        <v>0.25</v>
      </c>
      <c r="E111" s="9">
        <f>NORMDIST(B111,$J106,$J107,TRUE())</f>
        <v>0.26317758482463083</v>
      </c>
      <c r="F111" s="9">
        <f t="shared" si="8"/>
        <v>1.3177584824630828E-2</v>
      </c>
      <c r="G111" s="9">
        <f t="shared" si="9"/>
        <v>6.3177584824630817E-2</v>
      </c>
    </row>
    <row r="112" spans="1:10" x14ac:dyDescent="0.25">
      <c r="A112" s="7">
        <v>6</v>
      </c>
      <c r="B112" s="9">
        <f>SMALL('Data Rasio Keuangan'!$I$53:$I$72,6)</f>
        <v>169.33799999999999</v>
      </c>
      <c r="C112" s="9">
        <f>(6-1)/20</f>
        <v>0.25</v>
      </c>
      <c r="D112" s="9">
        <f>6/20</f>
        <v>0.3</v>
      </c>
      <c r="E112" s="9">
        <f>NORMDIST(B112,$J106,$J107,TRUE())</f>
        <v>0.27165292009894737</v>
      </c>
      <c r="F112" s="9">
        <f t="shared" si="8"/>
        <v>2.8347079901052619E-2</v>
      </c>
      <c r="G112" s="9">
        <f t="shared" si="9"/>
        <v>2.165292009894737E-2</v>
      </c>
    </row>
    <row r="113" spans="1:7" x14ac:dyDescent="0.25">
      <c r="A113" s="7">
        <v>7</v>
      </c>
      <c r="B113" s="9">
        <f>SMALL('Data Rasio Keuangan'!$I$53:$I$72,7)</f>
        <v>170.24029999999999</v>
      </c>
      <c r="C113" s="9">
        <f>(7-1)/20</f>
        <v>0.3</v>
      </c>
      <c r="D113" s="9">
        <f>7/20</f>
        <v>0.35</v>
      </c>
      <c r="E113" s="9">
        <f>NORMDIST(B113,$J106,$J107,TRUE())</f>
        <v>0.29236733740244908</v>
      </c>
      <c r="F113" s="9">
        <f t="shared" si="8"/>
        <v>5.7632662597550899E-2</v>
      </c>
      <c r="G113" s="9">
        <f t="shared" si="9"/>
        <v>7.6326625975509099E-3</v>
      </c>
    </row>
    <row r="114" spans="1:7" x14ac:dyDescent="0.25">
      <c r="A114" s="7">
        <v>8</v>
      </c>
      <c r="B114" s="9">
        <f>SMALL('Data Rasio Keuangan'!$I$53:$I$72,8)</f>
        <v>170.58600000000001</v>
      </c>
      <c r="C114" s="9">
        <f>(8-1)/20</f>
        <v>0.35</v>
      </c>
      <c r="D114" s="9">
        <f>8/20</f>
        <v>0.4</v>
      </c>
      <c r="E114" s="9">
        <f>NORMDIST(B114,$J106,$J107,TRUE())</f>
        <v>0.30049379891978723</v>
      </c>
      <c r="F114" s="9">
        <f t="shared" si="8"/>
        <v>9.9506201080212797E-2</v>
      </c>
      <c r="G114" s="9">
        <f t="shared" si="9"/>
        <v>4.9506201080212753E-2</v>
      </c>
    </row>
    <row r="115" spans="1:7" x14ac:dyDescent="0.25">
      <c r="A115" s="7">
        <v>9</v>
      </c>
      <c r="B115" s="9">
        <f>SMALL('Data Rasio Keuangan'!$I$53:$I$72,9)</f>
        <v>172.60339999999999</v>
      </c>
      <c r="C115" s="9">
        <f>(9-1)/20</f>
        <v>0.4</v>
      </c>
      <c r="D115" s="9">
        <f>9/20</f>
        <v>0.45</v>
      </c>
      <c r="E115" s="9">
        <f>NORMDIST(B115,$J106,$J107,TRUE())</f>
        <v>0.34980934012714016</v>
      </c>
      <c r="F115" s="9">
        <f t="shared" si="8"/>
        <v>0.10019065987285986</v>
      </c>
      <c r="G115" s="9">
        <f t="shared" si="9"/>
        <v>5.0190659872859866E-2</v>
      </c>
    </row>
    <row r="116" spans="1:7" x14ac:dyDescent="0.25">
      <c r="A116" s="7">
        <v>10</v>
      </c>
      <c r="B116" s="9">
        <f>SMALL('Data Rasio Keuangan'!$I$53:$I$72,10)</f>
        <v>173.4794</v>
      </c>
      <c r="C116" s="9">
        <f>(10-1)/20</f>
        <v>0.45</v>
      </c>
      <c r="D116" s="9">
        <f>10/20</f>
        <v>0.5</v>
      </c>
      <c r="E116" s="9">
        <f>NORMDIST(B116,$J106,$J107,TRUE())</f>
        <v>0.37210489703110905</v>
      </c>
      <c r="F116" s="9">
        <f t="shared" si="8"/>
        <v>0.12789510296889095</v>
      </c>
      <c r="G116" s="9">
        <f t="shared" si="9"/>
        <v>7.7895102968890961E-2</v>
      </c>
    </row>
    <row r="117" spans="1:7" x14ac:dyDescent="0.25">
      <c r="A117" s="7">
        <v>11</v>
      </c>
      <c r="B117" s="9">
        <f>SMALL('Data Rasio Keuangan'!$I$53:$I$72,11)</f>
        <v>175.7818</v>
      </c>
      <c r="C117" s="9">
        <f>(11-1)/20</f>
        <v>0.5</v>
      </c>
      <c r="D117" s="9">
        <f>11/20</f>
        <v>0.55000000000000004</v>
      </c>
      <c r="E117" s="9">
        <f>NORMDIST(B117,$J106,$J107,TRUE())</f>
        <v>0.43259812403903602</v>
      </c>
      <c r="F117" s="9">
        <f t="shared" si="8"/>
        <v>0.11740187596096402</v>
      </c>
      <c r="G117" s="9">
        <f t="shared" si="9"/>
        <v>6.7401875960963975E-2</v>
      </c>
    </row>
    <row r="118" spans="1:7" x14ac:dyDescent="0.25">
      <c r="A118" s="7">
        <v>12</v>
      </c>
      <c r="B118" s="9">
        <f>SMALL('Data Rasio Keuangan'!$I$53:$I$72,12)</f>
        <v>175.8407</v>
      </c>
      <c r="C118" s="9">
        <f>(12-1)/20</f>
        <v>0.55000000000000004</v>
      </c>
      <c r="D118" s="9">
        <f>12/20</f>
        <v>0.6</v>
      </c>
      <c r="E118" s="9">
        <f>NORMDIST(B118,$J106,$J107,TRUE())</f>
        <v>0.43417320712727664</v>
      </c>
      <c r="F118" s="9">
        <f t="shared" si="8"/>
        <v>0.16582679287272334</v>
      </c>
      <c r="G118" s="9">
        <f t="shared" si="9"/>
        <v>0.11582679287272341</v>
      </c>
    </row>
    <row r="119" spans="1:7" x14ac:dyDescent="0.25">
      <c r="A119" s="7">
        <v>13</v>
      </c>
      <c r="B119" s="9">
        <f>SMALL('Data Rasio Keuangan'!$I$53:$I$72,13)</f>
        <v>175.91210000000001</v>
      </c>
      <c r="C119" s="9">
        <f>(13-1)/20</f>
        <v>0.6</v>
      </c>
      <c r="D119" s="9">
        <f>13/20</f>
        <v>0.65</v>
      </c>
      <c r="E119" s="9">
        <f>NORMDIST(B119,$J106,$J107,TRUE())</f>
        <v>0.43608396069446187</v>
      </c>
      <c r="F119" s="9">
        <f t="shared" si="8"/>
        <v>0.21391603930553815</v>
      </c>
      <c r="G119" s="9">
        <f t="shared" si="9"/>
        <v>0.16391603930553811</v>
      </c>
    </row>
    <row r="120" spans="1:7" x14ac:dyDescent="0.25">
      <c r="A120" s="7">
        <v>14</v>
      </c>
      <c r="B120" s="9">
        <f>SMALL('Data Rasio Keuangan'!$I$53:$I$72,14)</f>
        <v>176.82810000000001</v>
      </c>
      <c r="C120" s="9">
        <f>(14-1)/20</f>
        <v>0.65</v>
      </c>
      <c r="D120" s="9">
        <f>14/20</f>
        <v>0.7</v>
      </c>
      <c r="E120" s="9">
        <f>NORMDIST(B120,$J106,$J107,TRUE())</f>
        <v>0.46071424906854047</v>
      </c>
      <c r="F120" s="9">
        <f t="shared" si="8"/>
        <v>0.23928575093145948</v>
      </c>
      <c r="G120" s="9">
        <f t="shared" si="9"/>
        <v>0.18928575093145955</v>
      </c>
    </row>
    <row r="121" spans="1:7" x14ac:dyDescent="0.25">
      <c r="A121" s="7">
        <v>15</v>
      </c>
      <c r="B121" s="9">
        <f>SMALL('Data Rasio Keuangan'!$I$53:$I$72,15)</f>
        <v>181.4786</v>
      </c>
      <c r="C121" s="9">
        <f>(15-1)/20</f>
        <v>0.7</v>
      </c>
      <c r="D121" s="9">
        <f>15/20</f>
        <v>0.75</v>
      </c>
      <c r="E121" s="9">
        <f>NORMDIST(B121,$J106,$J107,TRUE())</f>
        <v>0.58609562201390708</v>
      </c>
      <c r="F121" s="9">
        <f t="shared" si="8"/>
        <v>0.16390437798609292</v>
      </c>
      <c r="G121" s="9">
        <f t="shared" si="9"/>
        <v>0.11390437798609288</v>
      </c>
    </row>
    <row r="122" spans="1:7" x14ac:dyDescent="0.25">
      <c r="A122" s="7">
        <v>16</v>
      </c>
      <c r="B122" s="9">
        <f>SMALL('Data Rasio Keuangan'!$I$53:$I$72,16)</f>
        <v>189.8143</v>
      </c>
      <c r="C122" s="9">
        <f>(16-1)/20</f>
        <v>0.75</v>
      </c>
      <c r="D122" s="9">
        <f>16/20</f>
        <v>0.8</v>
      </c>
      <c r="E122" s="9">
        <f>NORMDIST(B122,$J106,$J107,TRUE())</f>
        <v>0.7835341775539717</v>
      </c>
      <c r="F122" s="9">
        <f t="shared" si="8"/>
        <v>1.6465822446028344E-2</v>
      </c>
      <c r="G122" s="9">
        <f t="shared" si="9"/>
        <v>3.35341775539717E-2</v>
      </c>
    </row>
    <row r="123" spans="1:7" x14ac:dyDescent="0.25">
      <c r="A123" s="7">
        <v>17</v>
      </c>
      <c r="B123" s="9">
        <f>SMALL('Data Rasio Keuangan'!$I$53:$I$72,17)</f>
        <v>190.625</v>
      </c>
      <c r="C123" s="9">
        <f>(17-1)/20</f>
        <v>0.8</v>
      </c>
      <c r="D123" s="9">
        <f>17/20</f>
        <v>0.85</v>
      </c>
      <c r="E123" s="9">
        <f>NORMDIST(B123,$J106,$J107,TRUE())</f>
        <v>0.79934876239168029</v>
      </c>
      <c r="F123" s="9">
        <f t="shared" si="8"/>
        <v>5.0651237608319688E-2</v>
      </c>
      <c r="G123" s="9">
        <f t="shared" si="9"/>
        <v>6.5123760831975464E-4</v>
      </c>
    </row>
    <row r="124" spans="1:7" x14ac:dyDescent="0.25">
      <c r="A124" s="7">
        <v>18</v>
      </c>
      <c r="B124" s="9">
        <f>SMALL('Data Rasio Keuangan'!$I$53:$I$72,18)</f>
        <v>195.96850000000001</v>
      </c>
      <c r="C124" s="9">
        <f>(18-1)/20</f>
        <v>0.85</v>
      </c>
      <c r="D124" s="9">
        <f>18/20</f>
        <v>0.9</v>
      </c>
      <c r="E124" s="9">
        <f>NORMDIST(B124,$J106,$J107,TRUE())</f>
        <v>0.88542584169070593</v>
      </c>
      <c r="F124" s="9">
        <f t="shared" si="8"/>
        <v>1.4574158309294094E-2</v>
      </c>
      <c r="G124" s="9">
        <f t="shared" si="9"/>
        <v>3.542584169070595E-2</v>
      </c>
    </row>
    <row r="125" spans="1:7" x14ac:dyDescent="0.25">
      <c r="A125" s="7">
        <v>19</v>
      </c>
      <c r="B125" s="9">
        <f>SMALL('Data Rasio Keuangan'!$I$53:$I$72,19)</f>
        <v>209.36349999999999</v>
      </c>
      <c r="C125" s="9">
        <f>(19-1)/20</f>
        <v>0.9</v>
      </c>
      <c r="D125" s="9">
        <f>19/20</f>
        <v>0.95</v>
      </c>
      <c r="E125" s="9">
        <f>NORMDIST(B125,$J106,$J107,TRUE())</f>
        <v>0.98270670887060163</v>
      </c>
      <c r="F125" s="9">
        <f t="shared" si="8"/>
        <v>3.2706708870601675E-2</v>
      </c>
      <c r="G125" s="9">
        <f t="shared" si="9"/>
        <v>8.2706708870601608E-2</v>
      </c>
    </row>
    <row r="126" spans="1:7" x14ac:dyDescent="0.25">
      <c r="A126" s="7">
        <v>20</v>
      </c>
      <c r="B126" s="9">
        <f>SMALL('Data Rasio Keuangan'!$I$53:$I$72,20)</f>
        <v>213.76150000000001</v>
      </c>
      <c r="C126" s="9">
        <f>(20-1)/20</f>
        <v>0.95</v>
      </c>
      <c r="D126" s="9">
        <f>20/20</f>
        <v>1</v>
      </c>
      <c r="E126" s="9">
        <f>NORMDIST(B126,$J106,$J107,TRUE())</f>
        <v>0.99207057263797904</v>
      </c>
      <c r="F126" s="9">
        <f t="shared" si="8"/>
        <v>7.9294273620209577E-3</v>
      </c>
      <c r="G126" s="9">
        <f t="shared" si="9"/>
        <v>4.2070572637979087E-2</v>
      </c>
    </row>
    <row r="127" spans="1:7" x14ac:dyDescent="0.25">
      <c r="A127" s="18" t="s">
        <v>28</v>
      </c>
      <c r="B127" s="20">
        <f>MAX(F107:G126)</f>
        <v>0.23928575093145948</v>
      </c>
    </row>
    <row r="128" spans="1:7" x14ac:dyDescent="0.25">
      <c r="A128" s="18" t="s">
        <v>29</v>
      </c>
      <c r="B128" s="20">
        <v>0.29407</v>
      </c>
      <c r="C128" s="21" t="s">
        <v>30</v>
      </c>
    </row>
    <row r="129" spans="1:10" x14ac:dyDescent="0.25">
      <c r="A129" s="18" t="s">
        <v>31</v>
      </c>
      <c r="B129" s="18" t="str">
        <f>IF(B127&lt;B128,"Normal (H0 gagal ditolak)","Tidak Normal (H0 ditolak)")</f>
        <v>Normal (H0 gagal ditolak)</v>
      </c>
    </row>
    <row r="131" spans="1:10" ht="15.75" x14ac:dyDescent="0.25">
      <c r="A131" s="17" t="s">
        <v>68</v>
      </c>
      <c r="B131" s="17"/>
      <c r="C131" s="17"/>
      <c r="D131" s="17"/>
      <c r="E131" s="17"/>
      <c r="F131" s="17"/>
      <c r="G131" s="17"/>
    </row>
    <row r="132" spans="1:10" x14ac:dyDescent="0.25">
      <c r="A132" s="6" t="s">
        <v>19</v>
      </c>
      <c r="B132" s="6" t="s">
        <v>20</v>
      </c>
      <c r="C132" s="6" t="s">
        <v>21</v>
      </c>
      <c r="D132" s="6" t="s">
        <v>22</v>
      </c>
      <c r="E132" s="6" t="s">
        <v>23</v>
      </c>
      <c r="F132" s="6" t="s">
        <v>24</v>
      </c>
      <c r="G132" s="6" t="s">
        <v>25</v>
      </c>
      <c r="I132" s="18" t="s">
        <v>26</v>
      </c>
      <c r="J132" s="19">
        <f>AVERAGE('Data Rasio Keuangan'!$J$53:$J$72)</f>
        <v>63.97411000000001</v>
      </c>
    </row>
    <row r="133" spans="1:10" x14ac:dyDescent="0.25">
      <c r="A133" s="7">
        <v>1</v>
      </c>
      <c r="B133" s="9">
        <f>SMALL('Data Rasio Keuangan'!$J$53:$J$72,1)</f>
        <v>61.1053</v>
      </c>
      <c r="C133" s="9">
        <f>(1-1)/20</f>
        <v>0</v>
      </c>
      <c r="D133" s="9">
        <f>1/20</f>
        <v>0.05</v>
      </c>
      <c r="E133" s="9">
        <f>NORMDIST(B133,$J132,$J133,TRUE())</f>
        <v>5.6480657593546757E-2</v>
      </c>
      <c r="F133" s="9">
        <f t="shared" ref="F133:F152" si="10">ABS(D133-E133)</f>
        <v>6.4806575935467542E-3</v>
      </c>
      <c r="G133" s="9">
        <f t="shared" ref="G133:G152" si="11">ABS(E133-C133)</f>
        <v>5.6480657593546757E-2</v>
      </c>
      <c r="I133" s="18" t="s">
        <v>27</v>
      </c>
      <c r="J133" s="19">
        <f>STDEV('Data Rasio Keuangan'!$J$53:$J$72)</f>
        <v>1.8099495372145475</v>
      </c>
    </row>
    <row r="134" spans="1:10" x14ac:dyDescent="0.25">
      <c r="A134" s="7">
        <v>2</v>
      </c>
      <c r="B134" s="9">
        <f>SMALL('Data Rasio Keuangan'!$J$53:$J$72,2)</f>
        <v>62.136099999999999</v>
      </c>
      <c r="C134" s="9">
        <f>(2-1)/20</f>
        <v>0.05</v>
      </c>
      <c r="D134" s="9">
        <f>2/20</f>
        <v>0.1</v>
      </c>
      <c r="E134" s="9">
        <f>NORMDIST(B134,$J132,$J133,TRUE())</f>
        <v>0.15493295133196244</v>
      </c>
      <c r="F134" s="9">
        <f t="shared" si="10"/>
        <v>5.4932951331962437E-2</v>
      </c>
      <c r="G134" s="9">
        <f t="shared" si="11"/>
        <v>0.10493295133196244</v>
      </c>
    </row>
    <row r="135" spans="1:10" x14ac:dyDescent="0.25">
      <c r="A135" s="7">
        <v>3</v>
      </c>
      <c r="B135" s="9">
        <f>SMALL('Data Rasio Keuangan'!$J$53:$J$72,3)</f>
        <v>62.354999999999997</v>
      </c>
      <c r="C135" s="9">
        <f>(3-1)/20</f>
        <v>0.1</v>
      </c>
      <c r="D135" s="9">
        <f>3/20</f>
        <v>0.15</v>
      </c>
      <c r="E135" s="9">
        <f>NORMDIST(B135,$J132,$J133,TRUE())</f>
        <v>0.18551094341886551</v>
      </c>
      <c r="F135" s="9">
        <f t="shared" si="10"/>
        <v>3.5510943418865515E-2</v>
      </c>
      <c r="G135" s="9">
        <f t="shared" si="11"/>
        <v>8.5510943418865504E-2</v>
      </c>
    </row>
    <row r="136" spans="1:10" x14ac:dyDescent="0.25">
      <c r="A136" s="7">
        <v>4</v>
      </c>
      <c r="B136" s="9">
        <f>SMALL('Data Rasio Keuangan'!$J$53:$J$72,4)</f>
        <v>62.707799999999999</v>
      </c>
      <c r="C136" s="9">
        <f>(4-1)/20</f>
        <v>0.15</v>
      </c>
      <c r="D136" s="9">
        <f>4/20</f>
        <v>0.2</v>
      </c>
      <c r="E136" s="9">
        <f>NORMDIST(B136,$J132,$J133,TRUE())</f>
        <v>0.24207661175324657</v>
      </c>
      <c r="F136" s="9">
        <f t="shared" si="10"/>
        <v>4.2076611753246562E-2</v>
      </c>
      <c r="G136" s="9">
        <f t="shared" si="11"/>
        <v>9.2076611753246579E-2</v>
      </c>
    </row>
    <row r="137" spans="1:10" x14ac:dyDescent="0.25">
      <c r="A137" s="7">
        <v>5</v>
      </c>
      <c r="B137" s="9">
        <f>SMALL('Data Rasio Keuangan'!$J$53:$J$72,5)</f>
        <v>62.819600000000001</v>
      </c>
      <c r="C137" s="9">
        <f>(5-1)/20</f>
        <v>0.2</v>
      </c>
      <c r="D137" s="9">
        <f>5/20</f>
        <v>0.25</v>
      </c>
      <c r="E137" s="9">
        <f>NORMDIST(B137,$J132,$J133,TRUE())</f>
        <v>0.26177960557176438</v>
      </c>
      <c r="F137" s="9">
        <f t="shared" si="10"/>
        <v>1.1779605571764384E-2</v>
      </c>
      <c r="G137" s="9">
        <f t="shared" si="11"/>
        <v>6.1779605571764373E-2</v>
      </c>
    </row>
    <row r="138" spans="1:10" x14ac:dyDescent="0.25">
      <c r="A138" s="7">
        <v>6</v>
      </c>
      <c r="B138" s="9">
        <f>SMALL('Data Rasio Keuangan'!$J$53:$J$72,6)</f>
        <v>62.871899999999997</v>
      </c>
      <c r="C138" s="9">
        <f>(6-1)/20</f>
        <v>0.25</v>
      </c>
      <c r="D138" s="9">
        <f>6/20</f>
        <v>0.3</v>
      </c>
      <c r="E138" s="9">
        <f>NORMDIST(B138,$J132,$J133,TRUE())</f>
        <v>0.2712712409289425</v>
      </c>
      <c r="F138" s="9">
        <f t="shared" si="10"/>
        <v>2.8728759071057486E-2</v>
      </c>
      <c r="G138" s="9">
        <f t="shared" si="11"/>
        <v>2.1271240928942503E-2</v>
      </c>
    </row>
    <row r="139" spans="1:10" x14ac:dyDescent="0.25">
      <c r="A139" s="7">
        <v>7</v>
      </c>
      <c r="B139" s="9">
        <f>SMALL('Data Rasio Keuangan'!$J$53:$J$72,7)</f>
        <v>62.995899999999999</v>
      </c>
      <c r="C139" s="9">
        <f>(7-1)/20</f>
        <v>0.3</v>
      </c>
      <c r="D139" s="9">
        <f>7/20</f>
        <v>0.35</v>
      </c>
      <c r="E139" s="9">
        <f>NORMDIST(B139,$J132,$J133,TRUE())</f>
        <v>0.29443902957379053</v>
      </c>
      <c r="F139" s="9">
        <f t="shared" si="10"/>
        <v>5.5560970426209444E-2</v>
      </c>
      <c r="G139" s="9">
        <f t="shared" si="11"/>
        <v>5.560970426209455E-3</v>
      </c>
    </row>
    <row r="140" spans="1:10" x14ac:dyDescent="0.25">
      <c r="A140" s="7">
        <v>8</v>
      </c>
      <c r="B140" s="9">
        <f>SMALL('Data Rasio Keuangan'!$J$53:$J$72,8)</f>
        <v>63.043199999999999</v>
      </c>
      <c r="C140" s="9">
        <f>(8-1)/20</f>
        <v>0.35</v>
      </c>
      <c r="D140" s="9">
        <f>8/20</f>
        <v>0.4</v>
      </c>
      <c r="E140" s="9">
        <f>NORMDIST(B140,$J132,$J133,TRUE())</f>
        <v>0.30351090511994272</v>
      </c>
      <c r="F140" s="9">
        <f t="shared" si="10"/>
        <v>9.6489094880057302E-2</v>
      </c>
      <c r="G140" s="9">
        <f t="shared" si="11"/>
        <v>4.6489094880057258E-2</v>
      </c>
    </row>
    <row r="141" spans="1:10" x14ac:dyDescent="0.25">
      <c r="A141" s="7">
        <v>9</v>
      </c>
      <c r="B141" s="9">
        <f>SMALL('Data Rasio Keuangan'!$J$53:$J$72,9)</f>
        <v>63.316699999999997</v>
      </c>
      <c r="C141" s="9">
        <f>(9-1)/20</f>
        <v>0.4</v>
      </c>
      <c r="D141" s="9">
        <f>9/20</f>
        <v>0.45</v>
      </c>
      <c r="E141" s="9">
        <f>NORMDIST(B141,$J132,$J133,TRUE())</f>
        <v>0.35822024763797311</v>
      </c>
      <c r="F141" s="9">
        <f t="shared" si="10"/>
        <v>9.1779752362026901E-2</v>
      </c>
      <c r="G141" s="9">
        <f t="shared" si="11"/>
        <v>4.1779752362026912E-2</v>
      </c>
    </row>
    <row r="142" spans="1:10" x14ac:dyDescent="0.25">
      <c r="A142" s="7">
        <v>10</v>
      </c>
      <c r="B142" s="9">
        <f>SMALL('Data Rasio Keuangan'!$J$53:$J$72,10)</f>
        <v>63.434199999999997</v>
      </c>
      <c r="C142" s="9">
        <f>(10-1)/20</f>
        <v>0.45</v>
      </c>
      <c r="D142" s="9">
        <f>10/20</f>
        <v>0.5</v>
      </c>
      <c r="E142" s="9">
        <f>NORMDIST(B142,$J132,$J133,TRUE())</f>
        <v>0.38273666931157757</v>
      </c>
      <c r="F142" s="9">
        <f t="shared" si="10"/>
        <v>0.11726333068842243</v>
      </c>
      <c r="G142" s="9">
        <f t="shared" si="11"/>
        <v>6.726333068842244E-2</v>
      </c>
    </row>
    <row r="143" spans="1:10" x14ac:dyDescent="0.25">
      <c r="A143" s="7">
        <v>11</v>
      </c>
      <c r="B143" s="9">
        <f>SMALL('Data Rasio Keuangan'!$J$53:$J$72,11)</f>
        <v>63.7395</v>
      </c>
      <c r="C143" s="9">
        <f>(11-1)/20</f>
        <v>0.5</v>
      </c>
      <c r="D143" s="9">
        <f>11/20</f>
        <v>0.55000000000000004</v>
      </c>
      <c r="E143" s="9">
        <f>NORMDIST(B143,$J132,$J133,TRUE())</f>
        <v>0.44843259069531805</v>
      </c>
      <c r="F143" s="9">
        <f t="shared" si="10"/>
        <v>0.101567409304682</v>
      </c>
      <c r="G143" s="9">
        <f t="shared" si="11"/>
        <v>5.1567409304681955E-2</v>
      </c>
    </row>
    <row r="144" spans="1:10" x14ac:dyDescent="0.25">
      <c r="A144" s="7">
        <v>12</v>
      </c>
      <c r="B144" s="9">
        <f>SMALL('Data Rasio Keuangan'!$J$53:$J$72,12)</f>
        <v>63.747199999999999</v>
      </c>
      <c r="C144" s="9">
        <f>(12-1)/20</f>
        <v>0.55000000000000004</v>
      </c>
      <c r="D144" s="9">
        <f>12/20</f>
        <v>0.6</v>
      </c>
      <c r="E144" s="9">
        <f>NORMDIST(B144,$J132,$J133,TRUE())</f>
        <v>0.45011605636522106</v>
      </c>
      <c r="F144" s="9">
        <f t="shared" si="10"/>
        <v>0.14988394363477892</v>
      </c>
      <c r="G144" s="9">
        <f t="shared" si="11"/>
        <v>9.9883943634778982E-2</v>
      </c>
    </row>
    <row r="145" spans="1:10" x14ac:dyDescent="0.25">
      <c r="A145" s="7">
        <v>13</v>
      </c>
      <c r="B145" s="9">
        <f>SMALL('Data Rasio Keuangan'!$J$53:$J$72,13)</f>
        <v>63.756599999999999</v>
      </c>
      <c r="C145" s="9">
        <f>(13-1)/20</f>
        <v>0.6</v>
      </c>
      <c r="D145" s="9">
        <f>13/20</f>
        <v>0.65</v>
      </c>
      <c r="E145" s="9">
        <f>NORMDIST(B145,$J132,$J133,TRUE())</f>
        <v>0.45217241070819242</v>
      </c>
      <c r="F145" s="9">
        <f t="shared" si="10"/>
        <v>0.1978275892918076</v>
      </c>
      <c r="G145" s="9">
        <f t="shared" si="11"/>
        <v>0.14782758929180756</v>
      </c>
    </row>
    <row r="146" spans="1:10" x14ac:dyDescent="0.25">
      <c r="A146" s="7">
        <v>14</v>
      </c>
      <c r="B146" s="9">
        <f>SMALL('Data Rasio Keuangan'!$J$53:$J$72,14)</f>
        <v>63.8765</v>
      </c>
      <c r="C146" s="9">
        <f>(14-1)/20</f>
        <v>0.65</v>
      </c>
      <c r="D146" s="9">
        <f>14/20</f>
        <v>0.7</v>
      </c>
      <c r="E146" s="9">
        <f>NORMDIST(B146,$J132,$J133,TRUE())</f>
        <v>0.47849559478227921</v>
      </c>
      <c r="F146" s="9">
        <f t="shared" si="10"/>
        <v>0.22150440521772075</v>
      </c>
      <c r="G146" s="9">
        <f t="shared" si="11"/>
        <v>0.17150440521772081</v>
      </c>
    </row>
    <row r="147" spans="1:10" x14ac:dyDescent="0.25">
      <c r="A147" s="7">
        <v>15</v>
      </c>
      <c r="B147" s="9">
        <f>SMALL('Data Rasio Keuangan'!$J$53:$J$72,15)</f>
        <v>64.473299999999995</v>
      </c>
      <c r="C147" s="9">
        <f>(15-1)/20</f>
        <v>0.7</v>
      </c>
      <c r="D147" s="9">
        <f>15/20</f>
        <v>0.75</v>
      </c>
      <c r="E147" s="9">
        <f>NORMDIST(B147,$J132,$J133,TRUE())</f>
        <v>0.60865041381037366</v>
      </c>
      <c r="F147" s="9">
        <f t="shared" si="10"/>
        <v>0.14134958618962634</v>
      </c>
      <c r="G147" s="9">
        <f t="shared" si="11"/>
        <v>9.1349586189626297E-2</v>
      </c>
    </row>
    <row r="148" spans="1:10" x14ac:dyDescent="0.25">
      <c r="A148" s="7">
        <v>16</v>
      </c>
      <c r="B148" s="9">
        <f>SMALL('Data Rasio Keuangan'!$J$53:$J$72,16)</f>
        <v>65.495099999999994</v>
      </c>
      <c r="C148" s="9">
        <f>(16-1)/20</f>
        <v>0.75</v>
      </c>
      <c r="D148" s="9">
        <f>16/20</f>
        <v>0.8</v>
      </c>
      <c r="E148" s="9">
        <f>NORMDIST(B148,$J132,$J133,TRUE())</f>
        <v>0.79964374331095178</v>
      </c>
      <c r="F148" s="9">
        <f t="shared" si="10"/>
        <v>3.5625668904826213E-4</v>
      </c>
      <c r="G148" s="9">
        <f t="shared" si="11"/>
        <v>4.9643743310951782E-2</v>
      </c>
    </row>
    <row r="149" spans="1:10" x14ac:dyDescent="0.25">
      <c r="A149" s="7">
        <v>17</v>
      </c>
      <c r="B149" s="9">
        <f>SMALL('Data Rasio Keuangan'!$J$53:$J$72,17)</f>
        <v>65.591399999999993</v>
      </c>
      <c r="C149" s="9">
        <f>(17-1)/20</f>
        <v>0.8</v>
      </c>
      <c r="D149" s="9">
        <f>17/20</f>
        <v>0.85</v>
      </c>
      <c r="E149" s="9">
        <f>NORMDIST(B149,$J132,$J133,TRUE())</f>
        <v>0.81422006385136814</v>
      </c>
      <c r="F149" s="9">
        <f t="shared" si="10"/>
        <v>3.5779936148631841E-2</v>
      </c>
      <c r="G149" s="9">
        <f t="shared" si="11"/>
        <v>1.4220063851368092E-2</v>
      </c>
    </row>
    <row r="150" spans="1:10" x14ac:dyDescent="0.25">
      <c r="A150" s="7">
        <v>18</v>
      </c>
      <c r="B150" s="9">
        <f>SMALL('Data Rasio Keuangan'!$J$53:$J$72,18)</f>
        <v>66.212599999999995</v>
      </c>
      <c r="C150" s="9">
        <f>(18-1)/20</f>
        <v>0.85</v>
      </c>
      <c r="D150" s="9">
        <f>18/20</f>
        <v>0.9</v>
      </c>
      <c r="E150" s="9">
        <f>NORMDIST(B150,$J132,$J133,TRUE())</f>
        <v>0.89191362645307681</v>
      </c>
      <c r="F150" s="9">
        <f t="shared" si="10"/>
        <v>8.086373546923209E-3</v>
      </c>
      <c r="G150" s="9">
        <f t="shared" si="11"/>
        <v>4.1913626453076835E-2</v>
      </c>
    </row>
    <row r="151" spans="1:10" x14ac:dyDescent="0.25">
      <c r="A151" s="7">
        <v>19</v>
      </c>
      <c r="B151" s="9">
        <f>SMALL('Data Rasio Keuangan'!$J$53:$J$72,19)</f>
        <v>67.675600000000003</v>
      </c>
      <c r="C151" s="9">
        <f>(19-1)/20</f>
        <v>0.9</v>
      </c>
      <c r="D151" s="9">
        <f>19/20</f>
        <v>0.95</v>
      </c>
      <c r="E151" s="9">
        <f>NORMDIST(B151,$J132,$J133,TRUE())</f>
        <v>0.97957647059506958</v>
      </c>
      <c r="F151" s="9">
        <f t="shared" si="10"/>
        <v>2.9576470595069626E-2</v>
      </c>
      <c r="G151" s="9">
        <f t="shared" si="11"/>
        <v>7.9576470595069559E-2</v>
      </c>
    </row>
    <row r="152" spans="1:10" x14ac:dyDescent="0.25">
      <c r="A152" s="7">
        <v>20</v>
      </c>
      <c r="B152" s="9">
        <f>SMALL('Data Rasio Keuangan'!$J$53:$J$72,20)</f>
        <v>68.128699999999995</v>
      </c>
      <c r="C152" s="9">
        <f>(20-1)/20</f>
        <v>0.95</v>
      </c>
      <c r="D152" s="9">
        <f>20/20</f>
        <v>1</v>
      </c>
      <c r="E152" s="9">
        <f>NORMDIST(B152,$J132,$J133,TRUE())</f>
        <v>0.9891453978022916</v>
      </c>
      <c r="F152" s="9">
        <f t="shared" si="10"/>
        <v>1.0854602197708396E-2</v>
      </c>
      <c r="G152" s="9">
        <f t="shared" si="11"/>
        <v>3.9145397802291648E-2</v>
      </c>
    </row>
    <row r="153" spans="1:10" x14ac:dyDescent="0.25">
      <c r="A153" s="18" t="s">
        <v>28</v>
      </c>
      <c r="B153" s="20">
        <f>MAX(F133:G152)</f>
        <v>0.22150440521772075</v>
      </c>
    </row>
    <row r="154" spans="1:10" x14ac:dyDescent="0.25">
      <c r="A154" s="18" t="s">
        <v>29</v>
      </c>
      <c r="B154" s="20">
        <v>0.29407</v>
      </c>
      <c r="C154" s="21" t="s">
        <v>30</v>
      </c>
    </row>
    <row r="155" spans="1:10" x14ac:dyDescent="0.25">
      <c r="A155" s="18" t="s">
        <v>31</v>
      </c>
      <c r="B155" s="18" t="str">
        <f>IF(B153&lt;B154,"Normal (H0 gagal ditolak)","Tidak Normal (H0 ditolak)")</f>
        <v>Normal (H0 gagal ditolak)</v>
      </c>
    </row>
    <row r="157" spans="1:10" ht="15.75" x14ac:dyDescent="0.25">
      <c r="A157" s="17" t="s">
        <v>69</v>
      </c>
      <c r="B157" s="17"/>
      <c r="C157" s="17"/>
      <c r="D157" s="17"/>
      <c r="E157" s="17"/>
      <c r="F157" s="17"/>
      <c r="G157" s="17"/>
    </row>
    <row r="158" spans="1:10" x14ac:dyDescent="0.25">
      <c r="A158" s="6" t="s">
        <v>19</v>
      </c>
      <c r="B158" s="6" t="s">
        <v>20</v>
      </c>
      <c r="C158" s="6" t="s">
        <v>21</v>
      </c>
      <c r="D158" s="6" t="s">
        <v>22</v>
      </c>
      <c r="E158" s="6" t="s">
        <v>23</v>
      </c>
      <c r="F158" s="6" t="s">
        <v>24</v>
      </c>
      <c r="G158" s="6" t="s">
        <v>25</v>
      </c>
      <c r="I158" s="18" t="s">
        <v>26</v>
      </c>
      <c r="J158" s="19">
        <f>AVERAGE('Data Rasio Keuangan'!$K$53:$K$72)</f>
        <v>0.33267999999999998</v>
      </c>
    </row>
    <row r="159" spans="1:10" x14ac:dyDescent="0.25">
      <c r="A159" s="7">
        <v>1</v>
      </c>
      <c r="B159" s="9">
        <f>SMALL('Data Rasio Keuangan'!$K$53:$K$72,1)</f>
        <v>0.25069999999999998</v>
      </c>
      <c r="C159" s="9">
        <f>(1-1)/20</f>
        <v>0</v>
      </c>
      <c r="D159" s="9">
        <f>1/20</f>
        <v>0.05</v>
      </c>
      <c r="E159" s="9">
        <f>NORMDIST(B159,$J158,$J159,TRUE())</f>
        <v>8.9812583159215767E-2</v>
      </c>
      <c r="F159" s="9">
        <f t="shared" ref="F159:F178" si="12">ABS(D159-E159)</f>
        <v>3.9812583159215764E-2</v>
      </c>
      <c r="G159" s="9">
        <f t="shared" ref="G159:G178" si="13">ABS(E159-C159)</f>
        <v>8.9812583159215767E-2</v>
      </c>
      <c r="I159" s="18" t="s">
        <v>27</v>
      </c>
      <c r="J159" s="19">
        <f>STDEV('Data Rasio Keuangan'!$K$53:$K$72)</f>
        <v>6.1092023770874464E-2</v>
      </c>
    </row>
    <row r="160" spans="1:10" x14ac:dyDescent="0.25">
      <c r="A160" s="7">
        <v>2</v>
      </c>
      <c r="B160" s="9">
        <f>SMALL('Data Rasio Keuangan'!$K$53:$K$72,2)</f>
        <v>0.25119999999999998</v>
      </c>
      <c r="C160" s="9">
        <f>(2-1)/20</f>
        <v>0.05</v>
      </c>
      <c r="D160" s="9">
        <f>2/20</f>
        <v>0.1</v>
      </c>
      <c r="E160" s="9">
        <f>NORMDIST(B160,$J158,$J159,TRUE())</f>
        <v>9.1146890289220114E-2</v>
      </c>
      <c r="F160" s="9">
        <f t="shared" si="12"/>
        <v>8.8531097107798912E-3</v>
      </c>
      <c r="G160" s="9">
        <f t="shared" si="13"/>
        <v>4.1146890289220112E-2</v>
      </c>
    </row>
    <row r="161" spans="1:7" x14ac:dyDescent="0.25">
      <c r="A161" s="7">
        <v>3</v>
      </c>
      <c r="B161" s="9">
        <f>SMALL('Data Rasio Keuangan'!$K$53:$K$72,3)</f>
        <v>0.26079999999999998</v>
      </c>
      <c r="C161" s="9">
        <f>(3-1)/20</f>
        <v>0.1</v>
      </c>
      <c r="D161" s="9">
        <f>3/20</f>
        <v>0.15</v>
      </c>
      <c r="E161" s="9">
        <f>NORMDIST(B161,$J158,$J159,TRUE())</f>
        <v>0.11968045915353434</v>
      </c>
      <c r="F161" s="9">
        <f t="shared" si="12"/>
        <v>3.0319540846465654E-2</v>
      </c>
      <c r="G161" s="9">
        <f t="shared" si="13"/>
        <v>1.9680459153534335E-2</v>
      </c>
    </row>
    <row r="162" spans="1:7" x14ac:dyDescent="0.25">
      <c r="A162" s="7">
        <v>4</v>
      </c>
      <c r="B162" s="9">
        <f>SMALL('Data Rasio Keuangan'!$K$53:$K$72,4)</f>
        <v>0.27589999999999998</v>
      </c>
      <c r="C162" s="9">
        <f>(4-1)/20</f>
        <v>0.15</v>
      </c>
      <c r="D162" s="9">
        <f>4/20</f>
        <v>0.2</v>
      </c>
      <c r="E162" s="9">
        <f>NORMDIST(B162,$J158,$J159,TRUE())</f>
        <v>0.17633636406169367</v>
      </c>
      <c r="F162" s="9">
        <f t="shared" si="12"/>
        <v>2.3663635938306338E-2</v>
      </c>
      <c r="G162" s="9">
        <f t="shared" si="13"/>
        <v>2.6336364061693679E-2</v>
      </c>
    </row>
    <row r="163" spans="1:7" x14ac:dyDescent="0.25">
      <c r="A163" s="7">
        <v>5</v>
      </c>
      <c r="B163" s="9">
        <f>SMALL('Data Rasio Keuangan'!$K$53:$K$72,5)</f>
        <v>0.2893</v>
      </c>
      <c r="C163" s="9">
        <f>(5-1)/20</f>
        <v>0.2</v>
      </c>
      <c r="D163" s="9">
        <f>5/20</f>
        <v>0.25</v>
      </c>
      <c r="E163" s="9">
        <f>NORMDIST(B163,$J158,$J159,TRUE())</f>
        <v>0.23882840198960192</v>
      </c>
      <c r="F163" s="9">
        <f t="shared" si="12"/>
        <v>1.1171598010398076E-2</v>
      </c>
      <c r="G163" s="9">
        <f t="shared" si="13"/>
        <v>3.8828401989601913E-2</v>
      </c>
    </row>
    <row r="164" spans="1:7" x14ac:dyDescent="0.25">
      <c r="A164" s="7">
        <v>6</v>
      </c>
      <c r="B164" s="9">
        <f>SMALL('Data Rasio Keuangan'!$K$53:$K$72,6)</f>
        <v>0.29120000000000001</v>
      </c>
      <c r="C164" s="9">
        <f>(6-1)/20</f>
        <v>0.25</v>
      </c>
      <c r="D164" s="9">
        <f>6/20</f>
        <v>0.3</v>
      </c>
      <c r="E164" s="9">
        <f>NORMDIST(B164,$J158,$J159,TRUE())</f>
        <v>0.2485766274226443</v>
      </c>
      <c r="F164" s="9">
        <f t="shared" si="12"/>
        <v>5.1423372577355686E-2</v>
      </c>
      <c r="G164" s="9">
        <f t="shared" si="13"/>
        <v>1.4233725773556971E-3</v>
      </c>
    </row>
    <row r="165" spans="1:7" x14ac:dyDescent="0.25">
      <c r="A165" s="7">
        <v>7</v>
      </c>
      <c r="B165" s="9">
        <f>SMALL('Data Rasio Keuangan'!$K$53:$K$72,7)</f>
        <v>0.29699999999999999</v>
      </c>
      <c r="C165" s="9">
        <f>(7-1)/20</f>
        <v>0.3</v>
      </c>
      <c r="D165" s="9">
        <f>7/20</f>
        <v>0.35</v>
      </c>
      <c r="E165" s="9">
        <f>NORMDIST(B165,$J158,$J159,TRUE())</f>
        <v>0.27959772209866052</v>
      </c>
      <c r="F165" s="9">
        <f t="shared" si="12"/>
        <v>7.0402277901339461E-2</v>
      </c>
      <c r="G165" s="9">
        <f t="shared" si="13"/>
        <v>2.0402277901339472E-2</v>
      </c>
    </row>
    <row r="166" spans="1:7" x14ac:dyDescent="0.25">
      <c r="A166" s="7">
        <v>8</v>
      </c>
      <c r="B166" s="9">
        <f>SMALL('Data Rasio Keuangan'!$K$53:$K$72,8)</f>
        <v>0.30659999999999998</v>
      </c>
      <c r="C166" s="9">
        <f>(8-1)/20</f>
        <v>0.35</v>
      </c>
      <c r="D166" s="9">
        <f>8/20</f>
        <v>0.4</v>
      </c>
      <c r="E166" s="9">
        <f>NORMDIST(B166,$J158,$J159,TRUE())</f>
        <v>0.33472718532735957</v>
      </c>
      <c r="F166" s="9">
        <f t="shared" si="12"/>
        <v>6.5272814672640456E-2</v>
      </c>
      <c r="G166" s="9">
        <f t="shared" si="13"/>
        <v>1.5272814672640411E-2</v>
      </c>
    </row>
    <row r="167" spans="1:7" x14ac:dyDescent="0.25">
      <c r="A167" s="7">
        <v>9</v>
      </c>
      <c r="B167" s="9">
        <f>SMALL('Data Rasio Keuangan'!$K$53:$K$72,9)</f>
        <v>0.30840000000000001</v>
      </c>
      <c r="C167" s="9">
        <f>(9-1)/20</f>
        <v>0.4</v>
      </c>
      <c r="D167" s="9">
        <f>9/20</f>
        <v>0.45</v>
      </c>
      <c r="E167" s="9">
        <f>NORMDIST(B167,$J158,$J159,TRUE())</f>
        <v>0.34552400953895218</v>
      </c>
      <c r="F167" s="9">
        <f t="shared" si="12"/>
        <v>0.10447599046104783</v>
      </c>
      <c r="G167" s="9">
        <f t="shared" si="13"/>
        <v>5.4475990461047841E-2</v>
      </c>
    </row>
    <row r="168" spans="1:7" x14ac:dyDescent="0.25">
      <c r="A168" s="7">
        <v>10</v>
      </c>
      <c r="B168" s="9">
        <f>SMALL('Data Rasio Keuangan'!$K$53:$K$72,10)</f>
        <v>0.311</v>
      </c>
      <c r="C168" s="9">
        <f>(10-1)/20</f>
        <v>0.45</v>
      </c>
      <c r="D168" s="9">
        <f>10/20</f>
        <v>0.5</v>
      </c>
      <c r="E168" s="9">
        <f>NORMDIST(B168,$J158,$J159,TRUE())</f>
        <v>0.36134181492027062</v>
      </c>
      <c r="F168" s="9">
        <f t="shared" si="12"/>
        <v>0.13865818507972938</v>
      </c>
      <c r="G168" s="9">
        <f t="shared" si="13"/>
        <v>8.865818507972939E-2</v>
      </c>
    </row>
    <row r="169" spans="1:7" x14ac:dyDescent="0.25">
      <c r="A169" s="7">
        <v>11</v>
      </c>
      <c r="B169" s="9">
        <f>SMALL('Data Rasio Keuangan'!$K$53:$K$72,11)</f>
        <v>0.34520000000000001</v>
      </c>
      <c r="C169" s="9">
        <f>(11-1)/20</f>
        <v>0.5</v>
      </c>
      <c r="D169" s="9">
        <f>11/20</f>
        <v>0.55000000000000004</v>
      </c>
      <c r="E169" s="9">
        <f>NORMDIST(B169,$J158,$J159,TRUE())</f>
        <v>0.58118922377508853</v>
      </c>
      <c r="F169" s="9">
        <f t="shared" si="12"/>
        <v>3.1189223775088482E-2</v>
      </c>
      <c r="G169" s="9">
        <f t="shared" si="13"/>
        <v>8.1189223775088526E-2</v>
      </c>
    </row>
    <row r="170" spans="1:7" x14ac:dyDescent="0.25">
      <c r="A170" s="7">
        <v>12</v>
      </c>
      <c r="B170" s="9">
        <f>SMALL('Data Rasio Keuangan'!$K$53:$K$72,12)</f>
        <v>0.35139999999999999</v>
      </c>
      <c r="C170" s="9">
        <f>(12-1)/20</f>
        <v>0.55000000000000004</v>
      </c>
      <c r="D170" s="9">
        <f>12/20</f>
        <v>0.6</v>
      </c>
      <c r="E170" s="9">
        <f>NORMDIST(B170,$J158,$J159,TRUE())</f>
        <v>0.62035869322830972</v>
      </c>
      <c r="F170" s="9">
        <f t="shared" si="12"/>
        <v>2.0358693228309743E-2</v>
      </c>
      <c r="G170" s="9">
        <f t="shared" si="13"/>
        <v>7.0358693228309677E-2</v>
      </c>
    </row>
    <row r="171" spans="1:7" x14ac:dyDescent="0.25">
      <c r="A171" s="7">
        <v>13</v>
      </c>
      <c r="B171" s="9">
        <f>SMALL('Data Rasio Keuangan'!$K$53:$K$72,13)</f>
        <v>0.35460000000000003</v>
      </c>
      <c r="C171" s="9">
        <f>(13-1)/20</f>
        <v>0.6</v>
      </c>
      <c r="D171" s="9">
        <f>13/20</f>
        <v>0.65</v>
      </c>
      <c r="E171" s="9">
        <f>NORMDIST(B171,$J158,$J159,TRUE())</f>
        <v>0.64012875727947061</v>
      </c>
      <c r="F171" s="9">
        <f t="shared" si="12"/>
        <v>9.8712427205294162E-3</v>
      </c>
      <c r="G171" s="9">
        <f t="shared" si="13"/>
        <v>4.0128757279470628E-2</v>
      </c>
    </row>
    <row r="172" spans="1:7" x14ac:dyDescent="0.25">
      <c r="A172" s="7">
        <v>14</v>
      </c>
      <c r="B172" s="9">
        <f>SMALL('Data Rasio Keuangan'!$K$53:$K$72,14)</f>
        <v>0.35549999999999998</v>
      </c>
      <c r="C172" s="9">
        <f>(14-1)/20</f>
        <v>0.65</v>
      </c>
      <c r="D172" s="9">
        <f>14/20</f>
        <v>0.7</v>
      </c>
      <c r="E172" s="9">
        <f>NORMDIST(B172,$J158,$J159,TRUE())</f>
        <v>0.64562479407112394</v>
      </c>
      <c r="F172" s="9">
        <f t="shared" si="12"/>
        <v>5.4375205928876014E-2</v>
      </c>
      <c r="G172" s="9">
        <f t="shared" si="13"/>
        <v>4.3752059288760803E-3</v>
      </c>
    </row>
    <row r="173" spans="1:7" x14ac:dyDescent="0.25">
      <c r="A173" s="7">
        <v>15</v>
      </c>
      <c r="B173" s="9">
        <f>SMALL('Data Rasio Keuangan'!$K$53:$K$72,15)</f>
        <v>0.35749999999999998</v>
      </c>
      <c r="C173" s="9">
        <f>(15-1)/20</f>
        <v>0.7</v>
      </c>
      <c r="D173" s="9">
        <f>15/20</f>
        <v>0.75</v>
      </c>
      <c r="E173" s="9">
        <f>NORMDIST(B173,$J158,$J159,TRUE())</f>
        <v>0.65772875002194686</v>
      </c>
      <c r="F173" s="9">
        <f t="shared" si="12"/>
        <v>9.2271249978053138E-2</v>
      </c>
      <c r="G173" s="9">
        <f t="shared" si="13"/>
        <v>4.2271249978053094E-2</v>
      </c>
    </row>
    <row r="174" spans="1:7" x14ac:dyDescent="0.25">
      <c r="A174" s="7">
        <v>16</v>
      </c>
      <c r="B174" s="9">
        <f>SMALL('Data Rasio Keuangan'!$K$53:$K$72,16)</f>
        <v>0.36620000000000003</v>
      </c>
      <c r="C174" s="9">
        <f>(16-1)/20</f>
        <v>0.75</v>
      </c>
      <c r="D174" s="9">
        <f>16/20</f>
        <v>0.8</v>
      </c>
      <c r="E174" s="9">
        <f>NORMDIST(B174,$J158,$J159,TRUE())</f>
        <v>0.70838762261596588</v>
      </c>
      <c r="F174" s="9">
        <f t="shared" si="12"/>
        <v>9.161237738403416E-2</v>
      </c>
      <c r="G174" s="9">
        <f t="shared" si="13"/>
        <v>4.1612377384034116E-2</v>
      </c>
    </row>
    <row r="175" spans="1:7" x14ac:dyDescent="0.25">
      <c r="A175" s="7">
        <v>17</v>
      </c>
      <c r="B175" s="9">
        <f>SMALL('Data Rasio Keuangan'!$K$53:$K$72,17)</f>
        <v>0.36899999999999999</v>
      </c>
      <c r="C175" s="9">
        <f>(17-1)/20</f>
        <v>0.8</v>
      </c>
      <c r="D175" s="9">
        <f>17/20</f>
        <v>0.85</v>
      </c>
      <c r="E175" s="9">
        <f>NORMDIST(B175,$J158,$J159,TRUE())</f>
        <v>0.72391546227054138</v>
      </c>
      <c r="F175" s="9">
        <f t="shared" si="12"/>
        <v>0.1260845377294586</v>
      </c>
      <c r="G175" s="9">
        <f t="shared" si="13"/>
        <v>7.6084537729458668E-2</v>
      </c>
    </row>
    <row r="176" spans="1:7" x14ac:dyDescent="0.25">
      <c r="A176" s="7">
        <v>18</v>
      </c>
      <c r="B176" s="9">
        <f>SMALL('Data Rasio Keuangan'!$K$53:$K$72,18)</f>
        <v>0.39510000000000001</v>
      </c>
      <c r="C176" s="9">
        <f>(18-1)/20</f>
        <v>0.85</v>
      </c>
      <c r="D176" s="9">
        <f>18/20</f>
        <v>0.9</v>
      </c>
      <c r="E176" s="9">
        <f>NORMDIST(B176,$J158,$J159,TRUE())</f>
        <v>0.84654737621220355</v>
      </c>
      <c r="F176" s="9">
        <f t="shared" si="12"/>
        <v>5.3452623787796472E-2</v>
      </c>
      <c r="G176" s="9">
        <f t="shared" si="13"/>
        <v>3.4526237877964272E-3</v>
      </c>
    </row>
    <row r="177" spans="1:10" x14ac:dyDescent="0.25">
      <c r="A177" s="7">
        <v>19</v>
      </c>
      <c r="B177" s="9">
        <f>SMALL('Data Rasio Keuangan'!$K$53:$K$72,19)</f>
        <v>0.42370000000000002</v>
      </c>
      <c r="C177" s="9">
        <f>(19-1)/20</f>
        <v>0.9</v>
      </c>
      <c r="D177" s="9">
        <f>19/20</f>
        <v>0.95</v>
      </c>
      <c r="E177" s="9">
        <f>NORMDIST(B177,$J158,$J159,TRUE())</f>
        <v>0.93187256851071987</v>
      </c>
      <c r="F177" s="9">
        <f t="shared" si="12"/>
        <v>1.8127431489280088E-2</v>
      </c>
      <c r="G177" s="9">
        <f t="shared" si="13"/>
        <v>3.1872568510719845E-2</v>
      </c>
    </row>
    <row r="178" spans="1:10" x14ac:dyDescent="0.25">
      <c r="A178" s="7">
        <v>20</v>
      </c>
      <c r="B178" s="9">
        <f>SMALL('Data Rasio Keuangan'!$K$53:$K$72,20)</f>
        <v>0.49330000000000002</v>
      </c>
      <c r="C178" s="9">
        <f>(20-1)/20</f>
        <v>0.95</v>
      </c>
      <c r="D178" s="9">
        <f>20/20</f>
        <v>1</v>
      </c>
      <c r="E178" s="9">
        <f>NORMDIST(B178,$J158,$J159,TRUE())</f>
        <v>0.99572005083051285</v>
      </c>
      <c r="F178" s="9">
        <f t="shared" si="12"/>
        <v>4.2799491694871517E-3</v>
      </c>
      <c r="G178" s="9">
        <f t="shared" si="13"/>
        <v>4.5720050830512893E-2</v>
      </c>
    </row>
    <row r="179" spans="1:10" x14ac:dyDescent="0.25">
      <c r="A179" s="18" t="s">
        <v>28</v>
      </c>
      <c r="B179" s="20">
        <f>MAX(F159:G178)</f>
        <v>0.13865818507972938</v>
      </c>
    </row>
    <row r="180" spans="1:10" x14ac:dyDescent="0.25">
      <c r="A180" s="18" t="s">
        <v>29</v>
      </c>
      <c r="B180" s="20">
        <v>0.29407</v>
      </c>
      <c r="C180" s="21" t="s">
        <v>30</v>
      </c>
    </row>
    <row r="181" spans="1:10" x14ac:dyDescent="0.25">
      <c r="A181" s="18" t="s">
        <v>31</v>
      </c>
      <c r="B181" s="18" t="str">
        <f>IF(B179&lt;B180,"Normal (H0 gagal ditolak)","Tidak Normal (H0 ditolak)")</f>
        <v>Normal (H0 gagal ditolak)</v>
      </c>
    </row>
    <row r="183" spans="1:10" ht="15.75" x14ac:dyDescent="0.25">
      <c r="A183" s="17" t="s">
        <v>70</v>
      </c>
      <c r="B183" s="17"/>
      <c r="C183" s="17"/>
      <c r="D183" s="17"/>
      <c r="E183" s="17"/>
      <c r="F183" s="17"/>
      <c r="G183" s="17"/>
    </row>
    <row r="184" spans="1:10" x14ac:dyDescent="0.25">
      <c r="A184" s="6" t="s">
        <v>19</v>
      </c>
      <c r="B184" s="6" t="s">
        <v>20</v>
      </c>
      <c r="C184" s="6" t="s">
        <v>21</v>
      </c>
      <c r="D184" s="6" t="s">
        <v>22</v>
      </c>
      <c r="E184" s="6" t="s">
        <v>23</v>
      </c>
      <c r="F184" s="6" t="s">
        <v>24</v>
      </c>
      <c r="G184" s="6" t="s">
        <v>25</v>
      </c>
      <c r="I184" s="18" t="s">
        <v>26</v>
      </c>
      <c r="J184" s="19">
        <f>AVERAGE('Data Rasio Keuangan'!$L$53:$L$72)</f>
        <v>0.13172500000000001</v>
      </c>
    </row>
    <row r="185" spans="1:10" x14ac:dyDescent="0.25">
      <c r="A185" s="7">
        <v>1</v>
      </c>
      <c r="B185" s="9">
        <f>SMALL('Data Rasio Keuangan'!$L$53:$L$72,1)</f>
        <v>0.1191</v>
      </c>
      <c r="C185" s="9">
        <f>(1-1)/20</f>
        <v>0</v>
      </c>
      <c r="D185" s="9">
        <f>1/20</f>
        <v>0.05</v>
      </c>
      <c r="E185" s="9">
        <f>NORMDIST(B185,$J184,$J185,TRUE())</f>
        <v>7.6191762810930028E-2</v>
      </c>
      <c r="F185" s="9">
        <f t="shared" ref="F185:F204" si="14">ABS(D185-E185)</f>
        <v>2.6191762810930025E-2</v>
      </c>
      <c r="G185" s="9">
        <f t="shared" ref="G185:G204" si="15">ABS(E185-C185)</f>
        <v>7.6191762810930028E-2</v>
      </c>
      <c r="I185" s="18" t="s">
        <v>27</v>
      </c>
      <c r="J185" s="19">
        <f>STDEV('Data Rasio Keuangan'!$L$53:$L$72)</f>
        <v>8.8214973666307754E-3</v>
      </c>
    </row>
    <row r="186" spans="1:10" x14ac:dyDescent="0.25">
      <c r="A186" s="7">
        <v>2</v>
      </c>
      <c r="B186" s="9">
        <f>SMALL('Data Rasio Keuangan'!$L$53:$L$72,2)</f>
        <v>0.12</v>
      </c>
      <c r="C186" s="9">
        <f>(2-1)/20</f>
        <v>0.05</v>
      </c>
      <c r="D186" s="9">
        <f>2/20</f>
        <v>0.1</v>
      </c>
      <c r="E186" s="9">
        <f>NORMDIST(B186,$J184,$J185,TRUE())</f>
        <v>9.1900986509174776E-2</v>
      </c>
      <c r="F186" s="9">
        <f t="shared" si="14"/>
        <v>8.0990134908252298E-3</v>
      </c>
      <c r="G186" s="9">
        <f t="shared" si="15"/>
        <v>4.1900986509174773E-2</v>
      </c>
    </row>
    <row r="187" spans="1:10" x14ac:dyDescent="0.25">
      <c r="A187" s="7">
        <v>3</v>
      </c>
      <c r="B187" s="9">
        <f>SMALL('Data Rasio Keuangan'!$L$53:$L$72,3)</f>
        <v>0.1215</v>
      </c>
      <c r="C187" s="9">
        <f>(3-1)/20</f>
        <v>0.1</v>
      </c>
      <c r="D187" s="9">
        <f>3/20</f>
        <v>0.15</v>
      </c>
      <c r="E187" s="9">
        <f>NORMDIST(B187,$J184,$J185,TRUE())</f>
        <v>0.12320765745117185</v>
      </c>
      <c r="F187" s="9">
        <f t="shared" si="14"/>
        <v>2.6792342548828146E-2</v>
      </c>
      <c r="G187" s="9">
        <f t="shared" si="15"/>
        <v>2.3207657451171843E-2</v>
      </c>
    </row>
    <row r="188" spans="1:10" x14ac:dyDescent="0.25">
      <c r="A188" s="7">
        <v>4</v>
      </c>
      <c r="B188" s="9">
        <f>SMALL('Data Rasio Keuangan'!$L$53:$L$72,4)</f>
        <v>0.1236</v>
      </c>
      <c r="C188" s="9">
        <f>(4-1)/20</f>
        <v>0.15</v>
      </c>
      <c r="D188" s="9">
        <f>4/20</f>
        <v>0.2</v>
      </c>
      <c r="E188" s="9">
        <f>NORMDIST(B188,$J184,$J185,TRUE())</f>
        <v>0.17851334957062243</v>
      </c>
      <c r="F188" s="9">
        <f t="shared" si="14"/>
        <v>2.1486650429377585E-2</v>
      </c>
      <c r="G188" s="9">
        <f t="shared" si="15"/>
        <v>2.8513349570622432E-2</v>
      </c>
    </row>
    <row r="189" spans="1:10" x14ac:dyDescent="0.25">
      <c r="A189" s="7">
        <v>5</v>
      </c>
      <c r="B189" s="9">
        <f>SMALL('Data Rasio Keuangan'!$L$53:$L$72,5)</f>
        <v>0.125</v>
      </c>
      <c r="C189" s="9">
        <f>(5-1)/20</f>
        <v>0.2</v>
      </c>
      <c r="D189" s="9">
        <f>5/20</f>
        <v>0.25</v>
      </c>
      <c r="E189" s="9">
        <f>NORMDIST(B189,$J184,$J185,TRUE())</f>
        <v>0.22292788698508953</v>
      </c>
      <c r="F189" s="9">
        <f t="shared" si="14"/>
        <v>2.7072113014910471E-2</v>
      </c>
      <c r="G189" s="9">
        <f t="shared" si="15"/>
        <v>2.2927886985089518E-2</v>
      </c>
    </row>
    <row r="190" spans="1:10" x14ac:dyDescent="0.25">
      <c r="A190" s="7">
        <v>6</v>
      </c>
      <c r="B190" s="9">
        <f>SMALL('Data Rasio Keuangan'!$L$53:$L$72,6)</f>
        <v>0.12559999999999999</v>
      </c>
      <c r="C190" s="9">
        <f>(6-1)/20</f>
        <v>0.25</v>
      </c>
      <c r="D190" s="9">
        <f>6/20</f>
        <v>0.3</v>
      </c>
      <c r="E190" s="9">
        <f>NORMDIST(B190,$J184,$J185,TRUE())</f>
        <v>0.24373871626908516</v>
      </c>
      <c r="F190" s="9">
        <f t="shared" si="14"/>
        <v>5.6261283730914824E-2</v>
      </c>
      <c r="G190" s="9">
        <f t="shared" si="15"/>
        <v>6.261283730914835E-3</v>
      </c>
    </row>
    <row r="191" spans="1:10" x14ac:dyDescent="0.25">
      <c r="A191" s="7">
        <v>7</v>
      </c>
      <c r="B191" s="9">
        <f>SMALL('Data Rasio Keuangan'!$L$53:$L$72,7)</f>
        <v>0.12809999999999999</v>
      </c>
      <c r="C191" s="9">
        <f>(7-1)/20</f>
        <v>0.3</v>
      </c>
      <c r="D191" s="9">
        <f>7/20</f>
        <v>0.35</v>
      </c>
      <c r="E191" s="9">
        <f>NORMDIST(B191,$J184,$J185,TRUE())</f>
        <v>0.34056267639946836</v>
      </c>
      <c r="F191" s="9">
        <f t="shared" si="14"/>
        <v>9.4373236005316219E-3</v>
      </c>
      <c r="G191" s="9">
        <f t="shared" si="15"/>
        <v>4.0562676399468367E-2</v>
      </c>
    </row>
    <row r="192" spans="1:10" x14ac:dyDescent="0.25">
      <c r="A192" s="7">
        <v>8</v>
      </c>
      <c r="B192" s="9">
        <f>SMALL('Data Rasio Keuangan'!$L$53:$L$72,8)</f>
        <v>0.12859999999999999</v>
      </c>
      <c r="C192" s="9">
        <f>(8-1)/20</f>
        <v>0.35</v>
      </c>
      <c r="D192" s="9">
        <f>8/20</f>
        <v>0.4</v>
      </c>
      <c r="E192" s="9">
        <f>NORMDIST(B192,$J184,$J185,TRUE())</f>
        <v>0.36157642354924457</v>
      </c>
      <c r="F192" s="9">
        <f t="shared" si="14"/>
        <v>3.8423576450755448E-2</v>
      </c>
      <c r="G192" s="9">
        <f t="shared" si="15"/>
        <v>1.1576423549244597E-2</v>
      </c>
    </row>
    <row r="193" spans="1:7" x14ac:dyDescent="0.25">
      <c r="A193" s="7">
        <v>9</v>
      </c>
      <c r="B193" s="9">
        <f>SMALL('Data Rasio Keuangan'!$L$53:$L$72,9)</f>
        <v>0.1288</v>
      </c>
      <c r="C193" s="9">
        <f>(9-1)/20</f>
        <v>0.4</v>
      </c>
      <c r="D193" s="9">
        <f>9/20</f>
        <v>0.45</v>
      </c>
      <c r="E193" s="9">
        <f>NORMDIST(B193,$J184,$J185,TRUE())</f>
        <v>0.37010458573218008</v>
      </c>
      <c r="F193" s="9">
        <f t="shared" si="14"/>
        <v>7.9895414267819931E-2</v>
      </c>
      <c r="G193" s="9">
        <f t="shared" si="15"/>
        <v>2.9895414267819942E-2</v>
      </c>
    </row>
    <row r="194" spans="1:7" x14ac:dyDescent="0.25">
      <c r="A194" s="7">
        <v>10</v>
      </c>
      <c r="B194" s="9">
        <f>SMALL('Data Rasio Keuangan'!$L$53:$L$72,10)</f>
        <v>0.13039999999999999</v>
      </c>
      <c r="C194" s="9">
        <f>(10-1)/20</f>
        <v>0.45</v>
      </c>
      <c r="D194" s="9">
        <f>10/20</f>
        <v>0.5</v>
      </c>
      <c r="E194" s="9">
        <f>NORMDIST(B194,$J184,$J185,TRUE())</f>
        <v>0.44030291679295464</v>
      </c>
      <c r="F194" s="9">
        <f t="shared" si="14"/>
        <v>5.9697083207045365E-2</v>
      </c>
      <c r="G194" s="9">
        <f t="shared" si="15"/>
        <v>9.6970832070453761E-3</v>
      </c>
    </row>
    <row r="195" spans="1:7" x14ac:dyDescent="0.25">
      <c r="A195" s="7">
        <v>11</v>
      </c>
      <c r="B195" s="9">
        <f>SMALL('Data Rasio Keuangan'!$L$53:$L$72,11)</f>
        <v>0.13189999999999999</v>
      </c>
      <c r="C195" s="9">
        <f>(11-1)/20</f>
        <v>0.5</v>
      </c>
      <c r="D195" s="9">
        <f>11/20</f>
        <v>0.55000000000000004</v>
      </c>
      <c r="E195" s="9">
        <f>NORMDIST(B195,$J184,$J185,TRUE())</f>
        <v>0.50791365878745154</v>
      </c>
      <c r="F195" s="9">
        <f t="shared" si="14"/>
        <v>4.2086341212548506E-2</v>
      </c>
      <c r="G195" s="9">
        <f t="shared" si="15"/>
        <v>7.9136587874515385E-3</v>
      </c>
    </row>
    <row r="196" spans="1:7" x14ac:dyDescent="0.25">
      <c r="A196" s="7">
        <v>12</v>
      </c>
      <c r="B196" s="9">
        <f>SMALL('Data Rasio Keuangan'!$L$53:$L$72,12)</f>
        <v>0.13270000000000001</v>
      </c>
      <c r="C196" s="9">
        <f>(12-1)/20</f>
        <v>0.55000000000000004</v>
      </c>
      <c r="D196" s="9">
        <f>12/20</f>
        <v>0.6</v>
      </c>
      <c r="E196" s="9">
        <f>NORMDIST(B196,$J184,$J185,TRUE())</f>
        <v>0.54400366785748155</v>
      </c>
      <c r="F196" s="9">
        <f t="shared" si="14"/>
        <v>5.5996332142518424E-2</v>
      </c>
      <c r="G196" s="9">
        <f t="shared" si="15"/>
        <v>5.9963321425184901E-3</v>
      </c>
    </row>
    <row r="197" spans="1:7" x14ac:dyDescent="0.25">
      <c r="A197" s="7">
        <v>13</v>
      </c>
      <c r="B197" s="9">
        <f>SMALL('Data Rasio Keuangan'!$L$53:$L$72,13)</f>
        <v>0.13389999999999999</v>
      </c>
      <c r="C197" s="9">
        <f>(13-1)/20</f>
        <v>0.6</v>
      </c>
      <c r="D197" s="9">
        <f>13/20</f>
        <v>0.65</v>
      </c>
      <c r="E197" s="9">
        <f>NORMDIST(B197,$J184,$J185,TRUE())</f>
        <v>0.59737437236337732</v>
      </c>
      <c r="F197" s="9">
        <f t="shared" si="14"/>
        <v>5.2625627636622707E-2</v>
      </c>
      <c r="G197" s="9">
        <f t="shared" si="15"/>
        <v>2.6256276366226627E-3</v>
      </c>
    </row>
    <row r="198" spans="1:7" x14ac:dyDescent="0.25">
      <c r="A198" s="7">
        <v>14</v>
      </c>
      <c r="B198" s="9">
        <f>SMALL('Data Rasio Keuangan'!$L$53:$L$72,14)</f>
        <v>0.1353</v>
      </c>
      <c r="C198" s="9">
        <f>(14-1)/20</f>
        <v>0.65</v>
      </c>
      <c r="D198" s="9">
        <f>14/20</f>
        <v>0.7</v>
      </c>
      <c r="E198" s="9">
        <f>NORMDIST(B198,$J184,$J185,TRUE())</f>
        <v>0.65735679627836274</v>
      </c>
      <c r="F198" s="9">
        <f t="shared" si="14"/>
        <v>4.2643203721637213E-2</v>
      </c>
      <c r="G198" s="9">
        <f t="shared" si="15"/>
        <v>7.3567962783627205E-3</v>
      </c>
    </row>
    <row r="199" spans="1:7" x14ac:dyDescent="0.25">
      <c r="A199" s="7">
        <v>15</v>
      </c>
      <c r="B199" s="9">
        <f>SMALL('Data Rasio Keuangan'!$L$53:$L$72,15)</f>
        <v>0.13569999999999999</v>
      </c>
      <c r="C199" s="9">
        <f>(15-1)/20</f>
        <v>0.7</v>
      </c>
      <c r="D199" s="9">
        <f>15/20</f>
        <v>0.75</v>
      </c>
      <c r="E199" s="9">
        <f>NORMDIST(B199,$J184,$J185,TRUE())</f>
        <v>0.67386242670224228</v>
      </c>
      <c r="F199" s="9">
        <f t="shared" si="14"/>
        <v>7.6137573297757721E-2</v>
      </c>
      <c r="G199" s="9">
        <f t="shared" si="15"/>
        <v>2.6137573297757677E-2</v>
      </c>
    </row>
    <row r="200" spans="1:7" x14ac:dyDescent="0.25">
      <c r="A200" s="7">
        <v>16</v>
      </c>
      <c r="B200" s="9">
        <f>SMALL('Data Rasio Keuangan'!$L$53:$L$72,16)</f>
        <v>0.13800000000000001</v>
      </c>
      <c r="C200" s="9">
        <f>(16-1)/20</f>
        <v>0.75</v>
      </c>
      <c r="D200" s="9">
        <f>16/20</f>
        <v>0.8</v>
      </c>
      <c r="E200" s="9">
        <f>NORMDIST(B200,$J184,$J185,TRUE())</f>
        <v>0.76156026755232964</v>
      </c>
      <c r="F200" s="9">
        <f t="shared" si="14"/>
        <v>3.8439732447670405E-2</v>
      </c>
      <c r="G200" s="9">
        <f t="shared" si="15"/>
        <v>1.1560267552329639E-2</v>
      </c>
    </row>
    <row r="201" spans="1:7" x14ac:dyDescent="0.25">
      <c r="A201" s="7">
        <v>17</v>
      </c>
      <c r="B201" s="9">
        <f>SMALL('Data Rasio Keuangan'!$L$53:$L$72,17)</f>
        <v>0.1391</v>
      </c>
      <c r="C201" s="9">
        <f>(17-1)/20</f>
        <v>0.8</v>
      </c>
      <c r="D201" s="9">
        <f>17/20</f>
        <v>0.85</v>
      </c>
      <c r="E201" s="9">
        <f>NORMDIST(B201,$J184,$J185,TRUE())</f>
        <v>0.79842982489948033</v>
      </c>
      <c r="F201" s="9">
        <f t="shared" si="14"/>
        <v>5.1570175100519644E-2</v>
      </c>
      <c r="G201" s="9">
        <f t="shared" si="15"/>
        <v>1.5701751005197107E-3</v>
      </c>
    </row>
    <row r="202" spans="1:7" x14ac:dyDescent="0.25">
      <c r="A202" s="7">
        <v>18</v>
      </c>
      <c r="B202" s="9">
        <f>SMALL('Data Rasio Keuangan'!$L$53:$L$72,18)</f>
        <v>0.13950000000000001</v>
      </c>
      <c r="C202" s="9">
        <f>(18-1)/20</f>
        <v>0.85</v>
      </c>
      <c r="D202" s="9">
        <f>18/20</f>
        <v>0.9</v>
      </c>
      <c r="E202" s="9">
        <f>NORMDIST(B202,$J184,$J185,TRUE())</f>
        <v>0.81094110903507011</v>
      </c>
      <c r="F202" s="9">
        <f t="shared" si="14"/>
        <v>8.9058890964929915E-2</v>
      </c>
      <c r="G202" s="9">
        <f t="shared" si="15"/>
        <v>3.9058890964929871E-2</v>
      </c>
    </row>
    <row r="203" spans="1:7" x14ac:dyDescent="0.25">
      <c r="A203" s="7">
        <v>19</v>
      </c>
      <c r="B203" s="9">
        <f>SMALL('Data Rasio Keuangan'!$L$53:$L$72,19)</f>
        <v>0.1411</v>
      </c>
      <c r="C203" s="9">
        <f>(19-1)/20</f>
        <v>0.9</v>
      </c>
      <c r="D203" s="9">
        <f>19/20</f>
        <v>0.95</v>
      </c>
      <c r="E203" s="9">
        <f>NORMDIST(B203,$J184,$J185,TRUE())</f>
        <v>0.85605113911107988</v>
      </c>
      <c r="F203" s="9">
        <f t="shared" si="14"/>
        <v>9.3948860888920072E-2</v>
      </c>
      <c r="G203" s="9">
        <f t="shared" si="15"/>
        <v>4.3948860888920138E-2</v>
      </c>
    </row>
    <row r="204" spans="1:7" x14ac:dyDescent="0.25">
      <c r="A204" s="7">
        <v>20</v>
      </c>
      <c r="B204" s="9">
        <f>SMALL('Data Rasio Keuangan'!$L$53:$L$72,20)</f>
        <v>0.15659999999999999</v>
      </c>
      <c r="C204" s="9">
        <f>(20-1)/20</f>
        <v>0.95</v>
      </c>
      <c r="D204" s="9">
        <f>20/20</f>
        <v>1</v>
      </c>
      <c r="E204" s="9">
        <f>NORMDIST(B204,$J184,$J185,TRUE())</f>
        <v>0.99759744081361723</v>
      </c>
      <c r="F204" s="9">
        <f t="shared" si="14"/>
        <v>2.4025591863827689E-3</v>
      </c>
      <c r="G204" s="9">
        <f t="shared" si="15"/>
        <v>4.7597440813617276E-2</v>
      </c>
    </row>
    <row r="205" spans="1:7" x14ac:dyDescent="0.25">
      <c r="A205" s="18" t="s">
        <v>28</v>
      </c>
      <c r="B205" s="20">
        <f>MAX(F185:G204)</f>
        <v>9.3948860888920072E-2</v>
      </c>
    </row>
    <row r="206" spans="1:7" x14ac:dyDescent="0.25">
      <c r="A206" s="18" t="s">
        <v>29</v>
      </c>
      <c r="B206" s="20">
        <v>0.29407</v>
      </c>
      <c r="C206" s="21" t="s">
        <v>30</v>
      </c>
    </row>
    <row r="207" spans="1:7" x14ac:dyDescent="0.25">
      <c r="A207" s="18" t="s">
        <v>31</v>
      </c>
      <c r="B207" s="18" t="str">
        <f>IF(B205&lt;B206,"Normal (H0 gagal ditolak)","Tidak Normal (H0 ditolak)")</f>
        <v>Normal (H0 gagal ditolak)</v>
      </c>
    </row>
  </sheetData>
  <mergeCells count="8">
    <mergeCell ref="A131:G131"/>
    <mergeCell ref="A157:G157"/>
    <mergeCell ref="A183:G183"/>
    <mergeCell ref="A1:G1"/>
    <mergeCell ref="A27:G27"/>
    <mergeCell ref="A53:G53"/>
    <mergeCell ref="A79:G79"/>
    <mergeCell ref="A105:G10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"/>
  <sheetViews>
    <sheetView showGridLines="0" zoomScaleNormal="100" workbookViewId="0">
      <selection activeCell="A2" sqref="A1:XFD1048576"/>
    </sheetView>
  </sheetViews>
  <sheetFormatPr defaultColWidth="8.7109375" defaultRowHeight="15" x14ac:dyDescent="0.25"/>
  <cols>
    <col min="1" max="1" width="10" style="5" customWidth="1"/>
    <col min="2" max="2" width="8" style="5" customWidth="1"/>
    <col min="3" max="3" width="7" style="5" customWidth="1"/>
    <col min="4" max="12" width="10" style="5" customWidth="1"/>
    <col min="13" max="16384" width="8.7109375" style="5"/>
  </cols>
  <sheetData>
    <row r="1" spans="1:12" ht="16.5" x14ac:dyDescent="0.25">
      <c r="A1" s="4" t="s">
        <v>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x14ac:dyDescent="0.25">
      <c r="A3" s="18" t="s">
        <v>34</v>
      </c>
      <c r="B3" s="22">
        <v>5</v>
      </c>
    </row>
    <row r="4" spans="1:12" x14ac:dyDescent="0.25">
      <c r="A4" s="18" t="s">
        <v>35</v>
      </c>
      <c r="B4" s="22">
        <v>4</v>
      </c>
    </row>
    <row r="5" spans="1:12" x14ac:dyDescent="0.25">
      <c r="A5" s="18" t="s">
        <v>36</v>
      </c>
      <c r="B5" s="22">
        <f>B3*B4</f>
        <v>20</v>
      </c>
    </row>
    <row r="6" spans="1:12" x14ac:dyDescent="0.25">
      <c r="A6" s="18" t="s">
        <v>37</v>
      </c>
      <c r="B6" s="20">
        <v>0.05</v>
      </c>
    </row>
    <row r="7" spans="1:12" x14ac:dyDescent="0.25">
      <c r="A7" s="18" t="s">
        <v>38</v>
      </c>
      <c r="B7" s="22">
        <f>B4-1</f>
        <v>3</v>
      </c>
    </row>
    <row r="8" spans="1:12" x14ac:dyDescent="0.25">
      <c r="A8" s="18" t="s">
        <v>39</v>
      </c>
      <c r="B8" s="22">
        <f>B5-B3</f>
        <v>15</v>
      </c>
    </row>
    <row r="9" spans="1:12" x14ac:dyDescent="0.25">
      <c r="A9" s="18" t="s">
        <v>40</v>
      </c>
      <c r="B9" s="22">
        <f>B6/(2*B3)</f>
        <v>5.0000000000000001E-3</v>
      </c>
    </row>
    <row r="11" spans="1:12" x14ac:dyDescent="0.25">
      <c r="A11" s="18" t="s">
        <v>41</v>
      </c>
      <c r="B11" s="23">
        <f>FINV(B9,B7,B8)</f>
        <v>6.476038963374056</v>
      </c>
    </row>
    <row r="12" spans="1:12" x14ac:dyDescent="0.25">
      <c r="A12" s="18" t="s">
        <v>42</v>
      </c>
      <c r="B12" s="23">
        <f>1/FINV(B9,B8,B7)</f>
        <v>2.3210118460981942E-2</v>
      </c>
    </row>
    <row r="14" spans="1:12" ht="15.75" x14ac:dyDescent="0.25">
      <c r="A14" s="10" t="s">
        <v>43</v>
      </c>
    </row>
    <row r="15" spans="1:12" ht="25.5" x14ac:dyDescent="0.25">
      <c r="A15" s="6" t="s">
        <v>44</v>
      </c>
      <c r="B15" s="6" t="s">
        <v>1</v>
      </c>
      <c r="C15" s="6" t="s">
        <v>45</v>
      </c>
      <c r="D15" s="6" t="s">
        <v>4</v>
      </c>
      <c r="E15" s="6" t="s">
        <v>5</v>
      </c>
      <c r="F15" s="6" t="s">
        <v>6</v>
      </c>
      <c r="G15" s="6" t="s">
        <v>7</v>
      </c>
      <c r="H15" s="6" t="s">
        <v>8</v>
      </c>
      <c r="I15" s="6" t="s">
        <v>9</v>
      </c>
      <c r="J15" s="6" t="s">
        <v>10</v>
      </c>
      <c r="K15" s="6" t="s">
        <v>11</v>
      </c>
    </row>
    <row r="16" spans="1:12" x14ac:dyDescent="0.25">
      <c r="A16" s="7">
        <v>1</v>
      </c>
      <c r="B16" s="7">
        <v>2021</v>
      </c>
      <c r="C16" s="7">
        <v>4</v>
      </c>
      <c r="D16" s="24">
        <f>VAR('Data Rasio Keuangan'!E53:E56)</f>
        <v>4.526602916666711E-2</v>
      </c>
      <c r="E16" s="24">
        <f>VAR('Data Rasio Keuangan'!F53:F56)</f>
        <v>8.0344091666666815E-3</v>
      </c>
      <c r="F16" s="24">
        <f>VAR('Data Rasio Keuangan'!G53:G56)</f>
        <v>8.7878296666665065E-2</v>
      </c>
      <c r="G16" s="24">
        <f>VAR('Data Rasio Keuangan'!H53:H56)</f>
        <v>0.74138070333332939</v>
      </c>
      <c r="H16" s="24">
        <f>VAR('Data Rasio Keuangan'!I53:I56)</f>
        <v>19.139292949166677</v>
      </c>
      <c r="I16" s="24">
        <f>VAR('Data Rasio Keuangan'!J53:J56)</f>
        <v>0.3566333933333346</v>
      </c>
      <c r="J16" s="24">
        <f>VAR('Data Rasio Keuangan'!K53:K56)</f>
        <v>9.0283666666666638E-4</v>
      </c>
      <c r="K16" s="24">
        <f>VAR('Data Rasio Keuangan'!L53:L56)</f>
        <v>9.6291666666666709E-6</v>
      </c>
    </row>
    <row r="17" spans="1:11" x14ac:dyDescent="0.25">
      <c r="A17" s="7">
        <v>2</v>
      </c>
      <c r="B17" s="7">
        <v>2022</v>
      </c>
      <c r="C17" s="7">
        <v>4</v>
      </c>
      <c r="D17" s="24">
        <f>VAR('Data Rasio Keuangan'!E57:E60)</f>
        <v>0.41722046916666661</v>
      </c>
      <c r="E17" s="24">
        <f>VAR('Data Rasio Keuangan'!F57:F60)</f>
        <v>8.3846302500000025E-2</v>
      </c>
      <c r="F17" s="24">
        <f>VAR('Data Rasio Keuangan'!G57:G60)</f>
        <v>1.10398598</v>
      </c>
      <c r="G17" s="24">
        <f>VAR('Data Rasio Keuangan'!H57:H60)</f>
        <v>10.280005793333332</v>
      </c>
      <c r="H17" s="24">
        <f>VAR('Data Rasio Keuangan'!I57:I60)</f>
        <v>382.8650596358334</v>
      </c>
      <c r="I17" s="24">
        <f>VAR('Data Rasio Keuangan'!J57:J60)</f>
        <v>5.3176502299999884</v>
      </c>
      <c r="J17" s="24">
        <f>VAR('Data Rasio Keuangan'!K57:K60)</f>
        <v>3.7881891666666592E-3</v>
      </c>
      <c r="K17" s="24">
        <f>VAR('Data Rasio Keuangan'!L57:L60)</f>
        <v>5.144249999999994E-5</v>
      </c>
    </row>
    <row r="18" spans="1:11" x14ac:dyDescent="0.25">
      <c r="A18" s="7">
        <v>3</v>
      </c>
      <c r="B18" s="7">
        <v>2023</v>
      </c>
      <c r="C18" s="7">
        <v>4</v>
      </c>
      <c r="D18" s="24">
        <f>VAR('Data Rasio Keuangan'!E61:E64)</f>
        <v>2.1831229166666688E-2</v>
      </c>
      <c r="E18" s="24">
        <f>VAR('Data Rasio Keuangan'!F61:F64)</f>
        <v>2.8515462500000015E-2</v>
      </c>
      <c r="F18" s="24">
        <f>VAR('Data Rasio Keuangan'!G61:G64)</f>
        <v>0.31087136666666709</v>
      </c>
      <c r="G18" s="24">
        <f>VAR('Data Rasio Keuangan'!H61:H64)</f>
        <v>3.1980597358333327</v>
      </c>
      <c r="H18" s="24">
        <f>VAR('Data Rasio Keuangan'!I61:I64)</f>
        <v>47.655255476666667</v>
      </c>
      <c r="I18" s="24">
        <f>VAR('Data Rasio Keuangan'!J61:J64)</f>
        <v>0.96615762999999788</v>
      </c>
      <c r="J18" s="24">
        <f>VAR('Data Rasio Keuangan'!K61:K64)</f>
        <v>2.4535891666666956E-3</v>
      </c>
      <c r="K18" s="24">
        <f>VAR('Data Rasio Keuangan'!L61:L64)</f>
        <v>1.5435833333333319E-5</v>
      </c>
    </row>
    <row r="19" spans="1:11" x14ac:dyDescent="0.25">
      <c r="A19" s="7">
        <v>4</v>
      </c>
      <c r="B19" s="7">
        <v>2024</v>
      </c>
      <c r="C19" s="7">
        <v>4</v>
      </c>
      <c r="D19" s="24">
        <f>VAR('Data Rasio Keuangan'!E65:E68)</f>
        <v>7.3441449999999797E-2</v>
      </c>
      <c r="E19" s="24">
        <f>VAR('Data Rasio Keuangan'!F65:F68)</f>
        <v>2.5532499999999996E-2</v>
      </c>
      <c r="F19" s="24">
        <f>VAR('Data Rasio Keuangan'!G65:G68)</f>
        <v>0.26716104333333429</v>
      </c>
      <c r="G19" s="24">
        <f>VAR('Data Rasio Keuangan'!H65:H68)</f>
        <v>2.1656660333333329</v>
      </c>
      <c r="H19" s="24">
        <f>VAR('Data Rasio Keuangan'!I65:I68)</f>
        <v>32.865810696666678</v>
      </c>
      <c r="I19" s="24">
        <f>VAR('Data Rasio Keuangan'!J65:J68)</f>
        <v>0.57384462916666301</v>
      </c>
      <c r="J19" s="24">
        <f>VAR('Data Rasio Keuangan'!K65:K68)</f>
        <v>9.2125333333333383E-4</v>
      </c>
      <c r="K19" s="24">
        <f>VAR('Data Rasio Keuangan'!L65:L68)</f>
        <v>4.1989166666666756E-5</v>
      </c>
    </row>
    <row r="20" spans="1:11" x14ac:dyDescent="0.25">
      <c r="A20" s="7">
        <v>5</v>
      </c>
      <c r="B20" s="7">
        <v>2025</v>
      </c>
      <c r="C20" s="7">
        <v>4</v>
      </c>
      <c r="D20" s="24">
        <f>VAR('Data Rasio Keuangan'!E69:E72)</f>
        <v>0.39413933583333344</v>
      </c>
      <c r="E20" s="24">
        <f>VAR('Data Rasio Keuangan'!F69:F72)</f>
        <v>0.79082478</v>
      </c>
      <c r="F20" s="24">
        <f>VAR('Data Rasio Keuangan'!G69:G72)</f>
        <v>11.076187393333329</v>
      </c>
      <c r="G20" s="24">
        <f>VAR('Data Rasio Keuangan'!H69:H72)</f>
        <v>99.338875349166656</v>
      </c>
      <c r="H20" s="24">
        <f>VAR('Data Rasio Keuangan'!I69:I72)</f>
        <v>188.55804921583308</v>
      </c>
      <c r="I20" s="24">
        <f>VAR('Data Rasio Keuangan'!J69:J72)</f>
        <v>2.5712648225000061</v>
      </c>
      <c r="J20" s="24">
        <f>VAR('Data Rasio Keuangan'!K69:K72)</f>
        <v>6.973336666666663E-3</v>
      </c>
      <c r="K20" s="24">
        <f>VAR('Data Rasio Keuangan'!L69:L72)</f>
        <v>1.6262916666666662E-4</v>
      </c>
    </row>
    <row r="21" spans="1:11" x14ac:dyDescent="0.25">
      <c r="A21" s="18" t="s">
        <v>46</v>
      </c>
      <c r="D21" s="20">
        <f t="shared" ref="D21:K21" si="0">3*SUM(D16:D20)</f>
        <v>2.8556955400000006</v>
      </c>
      <c r="E21" s="20">
        <f t="shared" si="0"/>
        <v>2.8102603625000002</v>
      </c>
      <c r="F21" s="20">
        <f t="shared" si="0"/>
        <v>38.538252239999984</v>
      </c>
      <c r="G21" s="20">
        <f t="shared" si="0"/>
        <v>347.17196284499994</v>
      </c>
      <c r="H21" s="20">
        <f t="shared" si="0"/>
        <v>2013.2504039224996</v>
      </c>
      <c r="I21" s="20">
        <f t="shared" si="0"/>
        <v>29.356652114999967</v>
      </c>
      <c r="J21" s="20">
        <f t="shared" si="0"/>
        <v>4.5117615000000055E-2</v>
      </c>
      <c r="K21" s="20">
        <f t="shared" si="0"/>
        <v>8.4337750000000003E-4</v>
      </c>
    </row>
    <row r="22" spans="1:11" x14ac:dyDescent="0.25">
      <c r="A22" s="18" t="s">
        <v>47</v>
      </c>
      <c r="D22" s="23">
        <f t="shared" ref="D22:K22" si="1">D21/$B$8</f>
        <v>0.19037970266666671</v>
      </c>
      <c r="E22" s="23">
        <f t="shared" si="1"/>
        <v>0.18735069083333336</v>
      </c>
      <c r="F22" s="23">
        <f t="shared" si="1"/>
        <v>2.5692168159999991</v>
      </c>
      <c r="G22" s="23">
        <f t="shared" si="1"/>
        <v>23.144797522999998</v>
      </c>
      <c r="H22" s="23">
        <f t="shared" si="1"/>
        <v>134.21669359483332</v>
      </c>
      <c r="I22" s="23">
        <f t="shared" si="1"/>
        <v>1.9571101409999978</v>
      </c>
      <c r="J22" s="23">
        <f t="shared" si="1"/>
        <v>3.0078410000000037E-3</v>
      </c>
      <c r="K22" s="23">
        <f t="shared" si="1"/>
        <v>5.6225166666666672E-5</v>
      </c>
    </row>
    <row r="24" spans="1:11" ht="15.75" x14ac:dyDescent="0.25">
      <c r="A24" s="10" t="s">
        <v>48</v>
      </c>
    </row>
    <row r="25" spans="1:11" ht="25.5" x14ac:dyDescent="0.25">
      <c r="A25" s="6" t="s">
        <v>44</v>
      </c>
      <c r="B25" s="6" t="s">
        <v>1</v>
      </c>
      <c r="C25" s="6"/>
      <c r="D25" s="6" t="s">
        <v>4</v>
      </c>
      <c r="E25" s="6" t="s">
        <v>5</v>
      </c>
      <c r="F25" s="6" t="s">
        <v>6</v>
      </c>
      <c r="G25" s="6" t="s">
        <v>7</v>
      </c>
      <c r="H25" s="6" t="s">
        <v>8</v>
      </c>
      <c r="I25" s="6" t="s">
        <v>9</v>
      </c>
      <c r="J25" s="6" t="s">
        <v>10</v>
      </c>
      <c r="K25" s="6" t="s">
        <v>11</v>
      </c>
    </row>
    <row r="26" spans="1:11" x14ac:dyDescent="0.25">
      <c r="A26" s="7">
        <v>1</v>
      </c>
      <c r="B26" s="7">
        <v>2021</v>
      </c>
      <c r="D26" s="20">
        <f t="shared" ref="D26:K26" si="2">D16/D$22</f>
        <v>0.2377670966632551</v>
      </c>
      <c r="E26" s="20">
        <f t="shared" si="2"/>
        <v>4.2884331682630776E-2</v>
      </c>
      <c r="F26" s="20">
        <f t="shared" si="2"/>
        <v>3.4204313205252308E-2</v>
      </c>
      <c r="G26" s="20">
        <f t="shared" si="2"/>
        <v>3.2032282961066603E-2</v>
      </c>
      <c r="H26" s="20">
        <f t="shared" si="2"/>
        <v>0.14259994369212689</v>
      </c>
      <c r="I26" s="20">
        <f t="shared" si="2"/>
        <v>0.1822244879642341</v>
      </c>
      <c r="J26" s="20">
        <f t="shared" si="2"/>
        <v>0.30016103466462002</v>
      </c>
      <c r="K26" s="20">
        <f t="shared" si="2"/>
        <v>0.17126079365408733</v>
      </c>
    </row>
    <row r="27" spans="1:11" x14ac:dyDescent="0.25">
      <c r="A27" s="7">
        <v>2</v>
      </c>
      <c r="B27" s="7">
        <v>2022</v>
      </c>
      <c r="D27" s="20">
        <f t="shared" ref="D27:K29" si="3">D17/D$22</f>
        <v>2.1915176004722121</v>
      </c>
      <c r="E27" s="20">
        <f t="shared" si="3"/>
        <v>0.44753666040436146</v>
      </c>
      <c r="F27" s="20">
        <f t="shared" si="3"/>
        <v>0.42969747555941595</v>
      </c>
      <c r="G27" s="20">
        <f t="shared" si="3"/>
        <v>0.44416054118069692</v>
      </c>
      <c r="H27" s="20">
        <f t="shared" si="3"/>
        <v>2.8525889692351343</v>
      </c>
      <c r="I27" s="20">
        <f t="shared" si="3"/>
        <v>2.7170929824536607</v>
      </c>
      <c r="J27" s="20">
        <f t="shared" si="3"/>
        <v>1.2594379711782153</v>
      </c>
      <c r="K27" s="20">
        <f t="shared" si="3"/>
        <v>0.91493726119086538</v>
      </c>
    </row>
    <row r="28" spans="1:11" x14ac:dyDescent="0.25">
      <c r="A28" s="7">
        <v>3</v>
      </c>
      <c r="B28" s="7">
        <v>2023</v>
      </c>
      <c r="D28" s="20">
        <f t="shared" si="3"/>
        <v>0.11467204150901894</v>
      </c>
      <c r="E28" s="20">
        <f t="shared" si="3"/>
        <v>0.15220366881575734</v>
      </c>
      <c r="F28" s="20">
        <f t="shared" si="3"/>
        <v>0.12099849445585568</v>
      </c>
      <c r="G28" s="20">
        <f t="shared" si="3"/>
        <v>0.13817618117658109</v>
      </c>
      <c r="H28" s="20">
        <f t="shared" si="3"/>
        <v>0.35506205823044623</v>
      </c>
      <c r="I28" s="20">
        <f t="shared" si="3"/>
        <v>0.49366543546002656</v>
      </c>
      <c r="J28" s="20">
        <f t="shared" si="3"/>
        <v>0.81573100661460918</v>
      </c>
      <c r="K28" s="20">
        <f t="shared" si="3"/>
        <v>0.27453601738248856</v>
      </c>
    </row>
    <row r="29" spans="1:11" x14ac:dyDescent="0.25">
      <c r="A29" s="7">
        <v>4</v>
      </c>
      <c r="B29" s="7">
        <v>2024</v>
      </c>
      <c r="D29" s="20">
        <f t="shared" si="3"/>
        <v>0.38576302500370774</v>
      </c>
      <c r="E29" s="20">
        <f t="shared" si="3"/>
        <v>0.13628185669576012</v>
      </c>
      <c r="F29" s="20">
        <f t="shared" si="3"/>
        <v>0.10398540195968202</v>
      </c>
      <c r="G29" s="20">
        <f t="shared" si="3"/>
        <v>9.3570316663224892E-2</v>
      </c>
      <c r="H29" s="20">
        <f t="shared" si="3"/>
        <v>0.24487125868172818</v>
      </c>
      <c r="I29" s="20">
        <f t="shared" si="3"/>
        <v>0.29321018635847113</v>
      </c>
      <c r="J29" s="20">
        <f t="shared" si="3"/>
        <v>0.30628392037123398</v>
      </c>
      <c r="K29" s="20">
        <f t="shared" si="3"/>
        <v>0.74680377411064591</v>
      </c>
    </row>
    <row r="30" spans="1:11" x14ac:dyDescent="0.25">
      <c r="A30" s="7">
        <v>5</v>
      </c>
      <c r="B30" s="7">
        <v>2025</v>
      </c>
      <c r="D30" s="20">
        <f>D20/D$22</f>
        <v>2.0702802363518069</v>
      </c>
      <c r="E30" s="20">
        <f t="shared" ref="E30:K30" si="4">E20/E$22</f>
        <v>4.2210934824014901</v>
      </c>
      <c r="F30" s="20">
        <f t="shared" si="4"/>
        <v>4.3111143148197941</v>
      </c>
      <c r="G30" s="20">
        <f t="shared" si="4"/>
        <v>4.2920606780184301</v>
      </c>
      <c r="H30" s="20">
        <f t="shared" si="4"/>
        <v>1.4048777701605639</v>
      </c>
      <c r="I30" s="20">
        <f t="shared" si="4"/>
        <v>1.3138069077636081</v>
      </c>
      <c r="J30" s="20">
        <f t="shared" si="4"/>
        <v>2.3183860671713212</v>
      </c>
      <c r="K30" s="20">
        <f t="shared" si="4"/>
        <v>2.8924621536619117</v>
      </c>
    </row>
    <row r="32" spans="1:11" ht="15.75" x14ac:dyDescent="0.25">
      <c r="A32" s="10" t="s">
        <v>49</v>
      </c>
    </row>
    <row r="33" spans="1:11" ht="25.5" x14ac:dyDescent="0.25">
      <c r="A33" s="6" t="s">
        <v>44</v>
      </c>
      <c r="B33" s="6" t="s">
        <v>1</v>
      </c>
      <c r="C33" s="6"/>
      <c r="D33" s="6" t="s">
        <v>4</v>
      </c>
      <c r="E33" s="6" t="s">
        <v>5</v>
      </c>
      <c r="F33" s="6" t="s">
        <v>6</v>
      </c>
      <c r="G33" s="6" t="s">
        <v>7</v>
      </c>
      <c r="H33" s="6" t="s">
        <v>8</v>
      </c>
      <c r="I33" s="6" t="s">
        <v>9</v>
      </c>
      <c r="J33" s="6" t="s">
        <v>10</v>
      </c>
      <c r="K33" s="6" t="s">
        <v>11</v>
      </c>
    </row>
    <row r="34" spans="1:11" x14ac:dyDescent="0.25">
      <c r="A34" s="7">
        <v>1</v>
      </c>
      <c r="B34" s="7">
        <v>2021</v>
      </c>
      <c r="D34" s="25" t="str">
        <f t="shared" ref="D34:K38" si="5">IF(AND(D26&gt;=$B$12,D26&lt;=$B$11),"Homogen","Menyimpang")</f>
        <v>Homogen</v>
      </c>
      <c r="E34" s="25" t="str">
        <f t="shared" si="5"/>
        <v>Homogen</v>
      </c>
      <c r="F34" s="25" t="str">
        <f t="shared" si="5"/>
        <v>Homogen</v>
      </c>
      <c r="G34" s="25" t="str">
        <f t="shared" si="5"/>
        <v>Homogen</v>
      </c>
      <c r="H34" s="25" t="str">
        <f t="shared" si="5"/>
        <v>Homogen</v>
      </c>
      <c r="I34" s="25" t="str">
        <f t="shared" si="5"/>
        <v>Homogen</v>
      </c>
      <c r="J34" s="25" t="str">
        <f t="shared" si="5"/>
        <v>Homogen</v>
      </c>
      <c r="K34" s="25" t="str">
        <f t="shared" si="5"/>
        <v>Homogen</v>
      </c>
    </row>
    <row r="35" spans="1:11" x14ac:dyDescent="0.25">
      <c r="A35" s="7">
        <v>2</v>
      </c>
      <c r="B35" s="7">
        <v>2022</v>
      </c>
      <c r="D35" s="25" t="str">
        <f t="shared" si="5"/>
        <v>Homogen</v>
      </c>
      <c r="E35" s="25" t="str">
        <f t="shared" si="5"/>
        <v>Homogen</v>
      </c>
      <c r="F35" s="25" t="str">
        <f t="shared" si="5"/>
        <v>Homogen</v>
      </c>
      <c r="G35" s="25" t="str">
        <f t="shared" si="5"/>
        <v>Homogen</v>
      </c>
      <c r="H35" s="25" t="str">
        <f t="shared" si="5"/>
        <v>Homogen</v>
      </c>
      <c r="I35" s="25" t="str">
        <f t="shared" si="5"/>
        <v>Homogen</v>
      </c>
      <c r="J35" s="25" t="str">
        <f t="shared" si="5"/>
        <v>Homogen</v>
      </c>
      <c r="K35" s="25" t="str">
        <f t="shared" si="5"/>
        <v>Homogen</v>
      </c>
    </row>
    <row r="36" spans="1:11" x14ac:dyDescent="0.25">
      <c r="A36" s="7">
        <v>3</v>
      </c>
      <c r="B36" s="7">
        <v>2023</v>
      </c>
      <c r="D36" s="25" t="str">
        <f t="shared" si="5"/>
        <v>Homogen</v>
      </c>
      <c r="E36" s="25" t="str">
        <f t="shared" si="5"/>
        <v>Homogen</v>
      </c>
      <c r="F36" s="25" t="str">
        <f t="shared" si="5"/>
        <v>Homogen</v>
      </c>
      <c r="G36" s="25" t="str">
        <f t="shared" si="5"/>
        <v>Homogen</v>
      </c>
      <c r="H36" s="25" t="str">
        <f t="shared" si="5"/>
        <v>Homogen</v>
      </c>
      <c r="I36" s="25" t="str">
        <f t="shared" si="5"/>
        <v>Homogen</v>
      </c>
      <c r="J36" s="25" t="str">
        <f t="shared" si="5"/>
        <v>Homogen</v>
      </c>
      <c r="K36" s="25" t="str">
        <f t="shared" si="5"/>
        <v>Homogen</v>
      </c>
    </row>
    <row r="37" spans="1:11" x14ac:dyDescent="0.25">
      <c r="A37" s="7">
        <v>4</v>
      </c>
      <c r="B37" s="7">
        <v>2024</v>
      </c>
      <c r="D37" s="25" t="str">
        <f t="shared" si="5"/>
        <v>Homogen</v>
      </c>
      <c r="E37" s="25" t="str">
        <f t="shared" si="5"/>
        <v>Homogen</v>
      </c>
      <c r="F37" s="25" t="str">
        <f t="shared" si="5"/>
        <v>Homogen</v>
      </c>
      <c r="G37" s="25" t="str">
        <f t="shared" si="5"/>
        <v>Homogen</v>
      </c>
      <c r="H37" s="25" t="str">
        <f t="shared" si="5"/>
        <v>Homogen</v>
      </c>
      <c r="I37" s="25" t="str">
        <f t="shared" si="5"/>
        <v>Homogen</v>
      </c>
      <c r="J37" s="25" t="str">
        <f t="shared" si="5"/>
        <v>Homogen</v>
      </c>
      <c r="K37" s="25" t="str">
        <f t="shared" si="5"/>
        <v>Homogen</v>
      </c>
    </row>
    <row r="38" spans="1:11" x14ac:dyDescent="0.25">
      <c r="A38" s="7">
        <v>5</v>
      </c>
      <c r="B38" s="7">
        <v>2025</v>
      </c>
      <c r="D38" s="25" t="str">
        <f t="shared" si="5"/>
        <v>Homogen</v>
      </c>
      <c r="E38" s="25" t="str">
        <f t="shared" si="5"/>
        <v>Homogen</v>
      </c>
      <c r="F38" s="25" t="str">
        <f t="shared" si="5"/>
        <v>Homogen</v>
      </c>
      <c r="G38" s="25" t="str">
        <f t="shared" si="5"/>
        <v>Homogen</v>
      </c>
      <c r="H38" s="25" t="str">
        <f t="shared" si="5"/>
        <v>Homogen</v>
      </c>
      <c r="I38" s="25" t="str">
        <f t="shared" si="5"/>
        <v>Homogen</v>
      </c>
      <c r="J38" s="25" t="str">
        <f t="shared" si="5"/>
        <v>Homogen</v>
      </c>
      <c r="K38" s="25" t="str">
        <f t="shared" si="5"/>
        <v>Homogen</v>
      </c>
    </row>
    <row r="40" spans="1:11" ht="36.75" x14ac:dyDescent="0.25">
      <c r="A40" s="18" t="s">
        <v>50</v>
      </c>
      <c r="D40" s="26" t="str">
        <f t="shared" ref="D40:K40" si="6">IF(COUNTIF(D34:D38,"Menyimpang")=0,"Homogen (H0 gagal ditolak)","Tidak Homogen (H0 ditolak)")</f>
        <v>Homogen (H0 gagal ditolak)</v>
      </c>
      <c r="E40" s="26" t="str">
        <f t="shared" si="6"/>
        <v>Homogen (H0 gagal ditolak)</v>
      </c>
      <c r="F40" s="26" t="str">
        <f t="shared" si="6"/>
        <v>Homogen (H0 gagal ditolak)</v>
      </c>
      <c r="G40" s="26" t="str">
        <f t="shared" si="6"/>
        <v>Homogen (H0 gagal ditolak)</v>
      </c>
      <c r="H40" s="26" t="str">
        <f t="shared" si="6"/>
        <v>Homogen (H0 gagal ditolak)</v>
      </c>
      <c r="I40" s="26" t="str">
        <f t="shared" si="6"/>
        <v>Homogen (H0 gagal ditolak)</v>
      </c>
      <c r="J40" s="26" t="str">
        <f t="shared" si="6"/>
        <v>Homogen (H0 gagal ditolak)</v>
      </c>
      <c r="K40" s="26" t="str">
        <f t="shared" si="6"/>
        <v>Homogen (H0 gagal ditolak)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4"/>
  <sheetViews>
    <sheetView showGridLines="0" tabSelected="1" topLeftCell="E19" zoomScaleNormal="100" workbookViewId="0">
      <selection activeCell="M12" sqref="M12"/>
    </sheetView>
  </sheetViews>
  <sheetFormatPr defaultColWidth="8.7109375" defaultRowHeight="15" x14ac:dyDescent="0.25"/>
  <cols>
    <col min="1" max="1" width="11" style="5" customWidth="1"/>
    <col min="2" max="2" width="8" style="5" customWidth="1"/>
    <col min="3" max="3" width="16" style="5" customWidth="1"/>
    <col min="4" max="4" width="12" style="5" customWidth="1"/>
    <col min="5" max="5" width="30" style="5" customWidth="1"/>
    <col min="6" max="6" width="8.7109375" style="5"/>
    <col min="7" max="7" width="30" style="5" customWidth="1"/>
    <col min="8" max="8" width="14" style="5" customWidth="1"/>
    <col min="9" max="16384" width="8.7109375" style="5"/>
  </cols>
  <sheetData>
    <row r="1" spans="1:8" ht="16.5" x14ac:dyDescent="0.25">
      <c r="A1" s="4" t="s">
        <v>71</v>
      </c>
      <c r="B1" s="4"/>
      <c r="C1" s="4"/>
      <c r="D1" s="4"/>
      <c r="E1" s="4"/>
      <c r="F1" s="4"/>
      <c r="G1" s="4"/>
      <c r="H1" s="4"/>
    </row>
    <row r="3" spans="1:8" ht="15.75" x14ac:dyDescent="0.25">
      <c r="A3" s="17" t="s">
        <v>72</v>
      </c>
      <c r="B3" s="17"/>
      <c r="C3" s="17"/>
      <c r="D3" s="17"/>
      <c r="E3" s="17"/>
    </row>
    <row r="4" spans="1:8" ht="25.5" x14ac:dyDescent="0.25">
      <c r="A4" s="6" t="s">
        <v>44</v>
      </c>
      <c r="B4" s="6" t="s">
        <v>1</v>
      </c>
      <c r="C4" s="6" t="s">
        <v>51</v>
      </c>
      <c r="D4" s="6" t="s">
        <v>52</v>
      </c>
      <c r="E4" s="6" t="s">
        <v>53</v>
      </c>
      <c r="G4" s="27" t="s">
        <v>18</v>
      </c>
      <c r="H4" s="19">
        <f>'Data Rasio Keuangan'!E82</f>
        <v>1.0921099999999999</v>
      </c>
    </row>
    <row r="5" spans="1:8" x14ac:dyDescent="0.25">
      <c r="A5" s="7">
        <v>1</v>
      </c>
      <c r="B5" s="7">
        <v>2021</v>
      </c>
      <c r="C5" s="9">
        <f>'Data Rasio Keuangan'!E77</f>
        <v>1.1783249999999998</v>
      </c>
      <c r="D5" s="9">
        <f>C5-$H$4</f>
        <v>8.6214999999999931E-2</v>
      </c>
      <c r="E5" s="8" t="str">
        <f>IF(H9="","Menunggu nilai h",IF(C5&gt;$H$10,"Signifikan tinggi (&gt;UDL)",IF(C5&lt;$H$11,"Signifikan rendah (&lt;LDL)","Dalam batas (tidak signifikan)")))</f>
        <v>Dalam batas (tidak signifikan)</v>
      </c>
      <c r="G5" s="27" t="s">
        <v>54</v>
      </c>
      <c r="H5" s="19">
        <f>ANOMV!D$22</f>
        <v>0.19037970266666671</v>
      </c>
    </row>
    <row r="6" spans="1:8" x14ac:dyDescent="0.25">
      <c r="A6" s="7">
        <v>2</v>
      </c>
      <c r="B6" s="7">
        <v>2022</v>
      </c>
      <c r="C6" s="9">
        <f>'Data Rasio Keuangan'!E78</f>
        <v>0.89907500000000007</v>
      </c>
      <c r="D6" s="9">
        <f>C6-$H$4</f>
        <v>-0.19303499999999985</v>
      </c>
      <c r="E6" s="8" t="str">
        <f>IF(H9="","Menunggu nilai h",IF(C6&gt;$H$10,"Signifikan tinggi (&gt;UDL)",IF(C6&lt;$H$11,"Signifikan rendah (&lt;LDL)","Dalam batas (tidak signifikan)")))</f>
        <v>Dalam batas (tidak signifikan)</v>
      </c>
      <c r="G6" s="27" t="s">
        <v>55</v>
      </c>
      <c r="H6" s="19">
        <v>5</v>
      </c>
    </row>
    <row r="7" spans="1:8" x14ac:dyDescent="0.25">
      <c r="A7" s="7">
        <v>3</v>
      </c>
      <c r="B7" s="7">
        <v>2023</v>
      </c>
      <c r="C7" s="9">
        <f>'Data Rasio Keuangan'!E79</f>
        <v>1.2088749999999999</v>
      </c>
      <c r="D7" s="9">
        <f>C7-$H$4</f>
        <v>0.11676500000000001</v>
      </c>
      <c r="E7" s="8" t="str">
        <f>IF(H9="","Menunggu nilai h",IF(C7&gt;$H$10,"Signifikan tinggi (&gt;UDL)",IF(C7&lt;$H$11,"Signifikan rendah (&lt;LDL)","Dalam batas (tidak signifikan)")))</f>
        <v>Dalam batas (tidak signifikan)</v>
      </c>
      <c r="G7" s="27" t="s">
        <v>56</v>
      </c>
      <c r="H7" s="19">
        <v>20</v>
      </c>
    </row>
    <row r="8" spans="1:8" x14ac:dyDescent="0.25">
      <c r="A8" s="7">
        <v>4</v>
      </c>
      <c r="B8" s="7">
        <v>2024</v>
      </c>
      <c r="C8" s="9">
        <f>'Data Rasio Keuangan'!E80</f>
        <v>1.29325</v>
      </c>
      <c r="D8" s="9">
        <f>C8-$H$4</f>
        <v>0.2011400000000001</v>
      </c>
      <c r="E8" s="8" t="str">
        <f>IF(H9="","Menunggu nilai h",IF(C8&gt;$H$10,"Signifikan tinggi (&gt;UDL)",IF(C8&lt;$H$11,"Signifikan rendah (&lt;LDL)","Dalam batas (tidak signifikan)")))</f>
        <v>Dalam batas (tidak signifikan)</v>
      </c>
      <c r="G8" s="27" t="s">
        <v>57</v>
      </c>
      <c r="H8" s="19">
        <f>SQRT(H5*(H6-1)/H7)</f>
        <v>0.1951305730359375</v>
      </c>
    </row>
    <row r="9" spans="1:8" x14ac:dyDescent="0.25">
      <c r="A9" s="7">
        <v>5</v>
      </c>
      <c r="B9" s="7">
        <v>2025</v>
      </c>
      <c r="C9" s="9">
        <f>'Data Rasio Keuangan'!E81</f>
        <v>0.88102499999999995</v>
      </c>
      <c r="D9" s="9">
        <f>C9-$H$4</f>
        <v>-0.21108499999999997</v>
      </c>
      <c r="E9" s="8" t="str">
        <f>IF(H9="","Menunggu nilai h",IF(C9&gt;$H$10,"Signifikan tinggi (&gt;UDL)",IF(C9&lt;$H$11,"Signifikan rendah (&lt;LDL)","Dalam batas (tidak signifikan)")))</f>
        <v>Dalam batas (tidak signifikan)</v>
      </c>
      <c r="G9" s="27" t="s">
        <v>58</v>
      </c>
      <c r="H9" s="19">
        <v>2.88</v>
      </c>
    </row>
    <row r="10" spans="1:8" x14ac:dyDescent="0.25">
      <c r="G10" s="27" t="s">
        <v>59</v>
      </c>
      <c r="H10" s="19">
        <f>H4+H9*H8</f>
        <v>1.6540860503435</v>
      </c>
    </row>
    <row r="11" spans="1:8" x14ac:dyDescent="0.25">
      <c r="G11" s="27" t="s">
        <v>60</v>
      </c>
      <c r="H11" s="19">
        <f>H4-H9*H8</f>
        <v>0.53013394965649996</v>
      </c>
    </row>
    <row r="12" spans="1:8" ht="15.75" x14ac:dyDescent="0.25">
      <c r="A12" s="17" t="s">
        <v>73</v>
      </c>
      <c r="B12" s="17"/>
      <c r="C12" s="17"/>
      <c r="D12" s="17"/>
      <c r="E12" s="17"/>
    </row>
    <row r="13" spans="1:8" ht="25.5" x14ac:dyDescent="0.25">
      <c r="A13" s="6" t="s">
        <v>44</v>
      </c>
      <c r="B13" s="6" t="s">
        <v>1</v>
      </c>
      <c r="C13" s="6" t="s">
        <v>51</v>
      </c>
      <c r="D13" s="6" t="s">
        <v>52</v>
      </c>
      <c r="E13" s="6" t="s">
        <v>53</v>
      </c>
      <c r="G13" s="27" t="s">
        <v>18</v>
      </c>
      <c r="H13" s="19">
        <f>'Data Rasio Keuangan'!F82</f>
        <v>0.30976499999999996</v>
      </c>
    </row>
    <row r="14" spans="1:8" x14ac:dyDescent="0.25">
      <c r="A14" s="7">
        <v>1</v>
      </c>
      <c r="B14" s="7">
        <v>2021</v>
      </c>
      <c r="C14" s="9">
        <f>'Data Rasio Keuangan'!F77</f>
        <v>0.470775</v>
      </c>
      <c r="D14" s="9">
        <f>C14-$H$13</f>
        <v>0.16101000000000004</v>
      </c>
      <c r="E14" s="8" t="str">
        <f>IF(H18="","Menunggu nilai h",IF(C14&gt;$H$19,"Signifikan tinggi (&gt;UDL)",IF(C14&lt;$H$20,"Signifikan rendah (&lt;LDL)","Dalam batas (tidak signifikan)")))</f>
        <v>Dalam batas (tidak signifikan)</v>
      </c>
      <c r="G14" s="27" t="s">
        <v>54</v>
      </c>
      <c r="H14" s="19">
        <f>ANOMV!E$22</f>
        <v>0.18735069083333336</v>
      </c>
    </row>
    <row r="15" spans="1:8" x14ac:dyDescent="0.25">
      <c r="A15" s="7">
        <v>2</v>
      </c>
      <c r="B15" s="7">
        <v>2022</v>
      </c>
      <c r="C15" s="9">
        <f>'Data Rasio Keuangan'!F78</f>
        <v>0.34312500000000001</v>
      </c>
      <c r="D15" s="9">
        <f>C15-$H$13</f>
        <v>3.3360000000000056E-2</v>
      </c>
      <c r="E15" s="8" t="str">
        <f>IF(H18="","Menunggu nilai h",IF(C15&gt;$H$19,"Signifikan tinggi (&gt;UDL)",IF(C15&lt;$H$20,"Signifikan rendah (&lt;LDL)","Dalam batas (tidak signifikan)")))</f>
        <v>Dalam batas (tidak signifikan)</v>
      </c>
      <c r="G15" s="27" t="s">
        <v>55</v>
      </c>
      <c r="H15" s="19">
        <v>5</v>
      </c>
    </row>
    <row r="16" spans="1:8" x14ac:dyDescent="0.25">
      <c r="A16" s="7">
        <v>3</v>
      </c>
      <c r="B16" s="7">
        <v>2023</v>
      </c>
      <c r="C16" s="9">
        <f>'Data Rasio Keuangan'!F79</f>
        <v>0.33422499999999999</v>
      </c>
      <c r="D16" s="9">
        <f>C16-$H$13</f>
        <v>2.4460000000000037E-2</v>
      </c>
      <c r="E16" s="8" t="str">
        <f>IF(H18="","Menunggu nilai h",IF(C16&gt;$H$19,"Signifikan tinggi (&gt;UDL)",IF(C16&lt;$H$20,"Signifikan rendah (&lt;LDL)","Dalam batas (tidak signifikan)")))</f>
        <v>Dalam batas (tidak signifikan)</v>
      </c>
      <c r="G16" s="27" t="s">
        <v>56</v>
      </c>
      <c r="H16" s="19">
        <v>20</v>
      </c>
    </row>
    <row r="17" spans="1:8" x14ac:dyDescent="0.25">
      <c r="A17" s="7">
        <v>4</v>
      </c>
      <c r="B17" s="7">
        <v>2024</v>
      </c>
      <c r="C17" s="9">
        <f>'Data Rasio Keuangan'!F80</f>
        <v>0.46579999999999999</v>
      </c>
      <c r="D17" s="9">
        <f>C17-$H$13</f>
        <v>0.15603500000000003</v>
      </c>
      <c r="E17" s="8" t="str">
        <f>IF(H18="","Menunggu nilai h",IF(C17&gt;$H$19,"Signifikan tinggi (&gt;UDL)",IF(C17&lt;$H$20,"Signifikan rendah (&lt;LDL)","Dalam batas (tidak signifikan)")))</f>
        <v>Dalam batas (tidak signifikan)</v>
      </c>
      <c r="G17" s="27" t="s">
        <v>57</v>
      </c>
      <c r="H17" s="19">
        <f>SQRT(H14*(H15-1)/H16)</f>
        <v>0.19357204903256739</v>
      </c>
    </row>
    <row r="18" spans="1:8" x14ac:dyDescent="0.25">
      <c r="A18" s="7">
        <v>5</v>
      </c>
      <c r="B18" s="7">
        <v>2025</v>
      </c>
      <c r="C18" s="9">
        <f>'Data Rasio Keuangan'!F81</f>
        <v>-6.5099999999999991E-2</v>
      </c>
      <c r="D18" s="9">
        <f>C18-$H$13</f>
        <v>-0.37486499999999995</v>
      </c>
      <c r="E18" s="8" t="str">
        <f>IF(H18="","Menunggu nilai h",IF(C18&gt;$H$19,"Signifikan tinggi (&gt;UDL)",IF(C18&lt;$H$20,"Signifikan rendah (&lt;LDL)","Dalam batas (tidak signifikan)")))</f>
        <v>Dalam batas (tidak signifikan)</v>
      </c>
      <c r="G18" s="27" t="s">
        <v>58</v>
      </c>
      <c r="H18" s="19">
        <v>2.88</v>
      </c>
    </row>
    <row r="19" spans="1:8" x14ac:dyDescent="0.25">
      <c r="G19" s="27" t="s">
        <v>59</v>
      </c>
      <c r="H19" s="19">
        <f>H13+H18*H17</f>
        <v>0.86725250121379405</v>
      </c>
    </row>
    <row r="20" spans="1:8" x14ac:dyDescent="0.25">
      <c r="G20" s="27" t="s">
        <v>60</v>
      </c>
      <c r="H20" s="19">
        <f>H13-H18*H17</f>
        <v>-0.24772250121379413</v>
      </c>
    </row>
    <row r="21" spans="1:8" ht="15.75" x14ac:dyDescent="0.25">
      <c r="A21" s="17" t="s">
        <v>74</v>
      </c>
      <c r="B21" s="17"/>
      <c r="C21" s="17"/>
      <c r="D21" s="17"/>
      <c r="E21" s="17"/>
    </row>
    <row r="22" spans="1:8" ht="25.5" x14ac:dyDescent="0.25">
      <c r="A22" s="6" t="s">
        <v>44</v>
      </c>
      <c r="B22" s="6" t="s">
        <v>1</v>
      </c>
      <c r="C22" s="6" t="s">
        <v>51</v>
      </c>
      <c r="D22" s="6" t="s">
        <v>52</v>
      </c>
      <c r="E22" s="6" t="s">
        <v>53</v>
      </c>
      <c r="G22" s="27" t="s">
        <v>18</v>
      </c>
      <c r="H22" s="19">
        <f>'Data Rasio Keuangan'!G82</f>
        <v>1.0288200000000001</v>
      </c>
    </row>
    <row r="23" spans="1:8" x14ac:dyDescent="0.25">
      <c r="A23" s="7">
        <v>1</v>
      </c>
      <c r="B23" s="7">
        <v>2021</v>
      </c>
      <c r="C23" s="9">
        <f>'Data Rasio Keuangan'!G77</f>
        <v>1.6396500000000003</v>
      </c>
      <c r="D23" s="9">
        <f>C23-$H$22</f>
        <v>0.61083000000000021</v>
      </c>
      <c r="E23" s="8" t="str">
        <f>IF(H27="","Menunggu nilai h",IF(C23&gt;$H$28,"Signifikan tinggi (&gt;UDL)",IF(C23&lt;$H$29,"Signifikan rendah (&lt;LDL)","Dalam batas (tidak signifikan)")))</f>
        <v>Dalam batas (tidak signifikan)</v>
      </c>
      <c r="G23" s="27" t="s">
        <v>54</v>
      </c>
      <c r="H23" s="19">
        <f>ANOMV!F$22</f>
        <v>2.5692168159999991</v>
      </c>
    </row>
    <row r="24" spans="1:8" x14ac:dyDescent="0.25">
      <c r="A24" s="7">
        <v>2</v>
      </c>
      <c r="B24" s="7">
        <v>2022</v>
      </c>
      <c r="C24" s="9">
        <f>'Data Rasio Keuangan'!G78</f>
        <v>1.2292000000000001</v>
      </c>
      <c r="D24" s="9">
        <f>C24-$H$22</f>
        <v>0.20038</v>
      </c>
      <c r="E24" s="8" t="str">
        <f>IF(H27="","Menunggu nilai h",IF(C24&gt;$H$28,"Signifikan tinggi (&gt;UDL)",IF(C24&lt;$H$29,"Signifikan rendah (&lt;LDL)","Dalam batas (tidak signifikan)")))</f>
        <v>Dalam batas (tidak signifikan)</v>
      </c>
      <c r="G24" s="27" t="s">
        <v>55</v>
      </c>
      <c r="H24" s="19">
        <v>5</v>
      </c>
    </row>
    <row r="25" spans="1:8" x14ac:dyDescent="0.25">
      <c r="A25" s="7">
        <v>3</v>
      </c>
      <c r="B25" s="7">
        <v>2023</v>
      </c>
      <c r="C25" s="9">
        <f>'Data Rasio Keuangan'!G79</f>
        <v>1.0926</v>
      </c>
      <c r="D25" s="9">
        <f>C25-$H$22</f>
        <v>6.3779999999999948E-2</v>
      </c>
      <c r="E25" s="8" t="str">
        <f>IF(H27="","Menunggu nilai h",IF(C25&gt;$H$28,"Signifikan tinggi (&gt;UDL)",IF(C25&lt;$H$29,"Signifikan rendah (&lt;LDL)","Dalam batas (tidak signifikan)")))</f>
        <v>Dalam batas (tidak signifikan)</v>
      </c>
      <c r="G25" s="27" t="s">
        <v>56</v>
      </c>
      <c r="H25" s="19">
        <v>20</v>
      </c>
    </row>
    <row r="26" spans="1:8" x14ac:dyDescent="0.25">
      <c r="A26" s="7">
        <v>4</v>
      </c>
      <c r="B26" s="7">
        <v>2024</v>
      </c>
      <c r="C26" s="9">
        <f>'Data Rasio Keuangan'!G80</f>
        <v>1.5610499999999998</v>
      </c>
      <c r="D26" s="9">
        <f>C26-$H$22</f>
        <v>0.53222999999999976</v>
      </c>
      <c r="E26" s="8" t="str">
        <f>IF(H27="","Menunggu nilai h",IF(C26&gt;$H$28,"Signifikan tinggi (&gt;UDL)",IF(C26&lt;$H$29,"Signifikan rendah (&lt;LDL)","Dalam batas (tidak signifikan)")))</f>
        <v>Dalam batas (tidak signifikan)</v>
      </c>
      <c r="G26" s="27" t="s">
        <v>57</v>
      </c>
      <c r="H26" s="19">
        <f>SQRT(H23*(H24-1)/H25)</f>
        <v>0.71682868469390915</v>
      </c>
    </row>
    <row r="27" spans="1:8" x14ac:dyDescent="0.25">
      <c r="A27" s="7">
        <v>5</v>
      </c>
      <c r="B27" s="7">
        <v>2025</v>
      </c>
      <c r="C27" s="9">
        <f>'Data Rasio Keuangan'!G81</f>
        <v>-0.37839999999999996</v>
      </c>
      <c r="D27" s="9">
        <f>C27-$H$22</f>
        <v>-1.4072200000000001</v>
      </c>
      <c r="E27" s="8" t="str">
        <f>IF(H27="","Menunggu nilai h",IF(C27&gt;$H$28,"Signifikan tinggi (&gt;UDL)",IF(C27&lt;$H$29,"Signifikan rendah (&lt;LDL)","Dalam batas (tidak signifikan)")))</f>
        <v>Dalam batas (tidak signifikan)</v>
      </c>
      <c r="G27" s="27" t="s">
        <v>58</v>
      </c>
      <c r="H27" s="19">
        <v>2.88</v>
      </c>
    </row>
    <row r="28" spans="1:8" x14ac:dyDescent="0.25">
      <c r="G28" s="27" t="s">
        <v>59</v>
      </c>
      <c r="H28" s="19">
        <f>H22+H27*H26</f>
        <v>3.0932866119184586</v>
      </c>
    </row>
    <row r="29" spans="1:8" x14ac:dyDescent="0.25">
      <c r="G29" s="27" t="s">
        <v>60</v>
      </c>
      <c r="H29" s="19">
        <f>H22-H27*H26</f>
        <v>-1.0356466119184584</v>
      </c>
    </row>
    <row r="30" spans="1:8" ht="15.75" x14ac:dyDescent="0.25">
      <c r="A30" s="17" t="s">
        <v>75</v>
      </c>
      <c r="B30" s="17"/>
      <c r="C30" s="17"/>
      <c r="D30" s="17"/>
      <c r="E30" s="17"/>
    </row>
    <row r="31" spans="1:8" ht="25.5" x14ac:dyDescent="0.25">
      <c r="A31" s="6" t="s">
        <v>44</v>
      </c>
      <c r="B31" s="6" t="s">
        <v>1</v>
      </c>
      <c r="C31" s="6" t="s">
        <v>51</v>
      </c>
      <c r="D31" s="6" t="s">
        <v>52</v>
      </c>
      <c r="E31" s="6" t="s">
        <v>53</v>
      </c>
      <c r="G31" s="27" t="s">
        <v>18</v>
      </c>
      <c r="H31" s="19">
        <f>'Data Rasio Keuangan'!H82</f>
        <v>3.3454699999999997</v>
      </c>
    </row>
    <row r="32" spans="1:8" x14ac:dyDescent="0.25">
      <c r="A32" s="7">
        <v>1</v>
      </c>
      <c r="B32" s="7">
        <v>2021</v>
      </c>
      <c r="C32" s="9">
        <f>'Data Rasio Keuangan'!H77</f>
        <v>4.8269500000000001</v>
      </c>
      <c r="D32" s="9">
        <f>C32-$H$31</f>
        <v>1.4814800000000004</v>
      </c>
      <c r="E32" s="8" t="str">
        <f>IF(H36="","Menunggu nilai h",IF(C32&gt;$H$37,"Signifikan tinggi (&gt;UDL)",IF(C32&lt;$H$38,"Signifikan rendah (&lt;LDL)","Dalam batas (tidak signifikan)")))</f>
        <v>Dalam batas (tidak signifikan)</v>
      </c>
      <c r="G32" s="27" t="s">
        <v>54</v>
      </c>
      <c r="H32" s="19">
        <f>ANOMV!G$22</f>
        <v>23.144797522999998</v>
      </c>
    </row>
    <row r="33" spans="1:8" x14ac:dyDescent="0.25">
      <c r="A33" s="7">
        <v>2</v>
      </c>
      <c r="B33" s="7">
        <v>2022</v>
      </c>
      <c r="C33" s="9">
        <f>'Data Rasio Keuangan'!H78</f>
        <v>3.7908999999999997</v>
      </c>
      <c r="D33" s="9">
        <f>C33-$H$31</f>
        <v>0.44542999999999999</v>
      </c>
      <c r="E33" s="8" t="str">
        <f>IF(H36="","Menunggu nilai h",IF(C33&gt;$H$37,"Signifikan tinggi (&gt;UDL)",IF(C33&lt;$H$38,"Signifikan rendah (&lt;LDL)","Dalam batas (tidak signifikan)")))</f>
        <v>Dalam batas (tidak signifikan)</v>
      </c>
      <c r="G33" s="27" t="s">
        <v>55</v>
      </c>
      <c r="H33" s="19">
        <v>5</v>
      </c>
    </row>
    <row r="34" spans="1:8" x14ac:dyDescent="0.25">
      <c r="A34" s="7">
        <v>3</v>
      </c>
      <c r="B34" s="7">
        <v>2023</v>
      </c>
      <c r="C34" s="9">
        <f>'Data Rasio Keuangan'!H79</f>
        <v>3.6755249999999999</v>
      </c>
      <c r="D34" s="9">
        <f>C34-$H$31</f>
        <v>0.33005500000000021</v>
      </c>
      <c r="E34" s="8" t="str">
        <f>IF(H36="","Menunggu nilai h",IF(C34&gt;$H$37,"Signifikan tinggi (&gt;UDL)",IF(C34&lt;$H$38,"Signifikan rendah (&lt;LDL)","Dalam batas (tidak signifikan)")))</f>
        <v>Dalam batas (tidak signifikan)</v>
      </c>
      <c r="G34" s="27" t="s">
        <v>56</v>
      </c>
      <c r="H34" s="19">
        <v>20</v>
      </c>
    </row>
    <row r="35" spans="1:8" x14ac:dyDescent="0.25">
      <c r="A35" s="7">
        <v>4</v>
      </c>
      <c r="B35" s="7">
        <v>2024</v>
      </c>
      <c r="C35" s="9">
        <f>'Data Rasio Keuangan'!H80</f>
        <v>4.8845999999999998</v>
      </c>
      <c r="D35" s="9">
        <f>C35-$H$31</f>
        <v>1.5391300000000001</v>
      </c>
      <c r="E35" s="8" t="str">
        <f>IF(H36="","Menunggu nilai h",IF(C35&gt;$H$37,"Signifikan tinggi (&gt;UDL)",IF(C35&lt;$H$38,"Signifikan rendah (&lt;LDL)","Dalam batas (tidak signifikan)")))</f>
        <v>Dalam batas (tidak signifikan)</v>
      </c>
      <c r="G35" s="27" t="s">
        <v>57</v>
      </c>
      <c r="H35" s="19">
        <f>SQRT(H32*(H33-1)/H34)</f>
        <v>2.151501685939381</v>
      </c>
    </row>
    <row r="36" spans="1:8" x14ac:dyDescent="0.25">
      <c r="A36" s="7">
        <v>5</v>
      </c>
      <c r="B36" s="7">
        <v>2025</v>
      </c>
      <c r="C36" s="9">
        <f>'Data Rasio Keuangan'!H81</f>
        <v>-0.45062500000000005</v>
      </c>
      <c r="D36" s="9">
        <f>C36-$H$31</f>
        <v>-3.7960949999999998</v>
      </c>
      <c r="E36" s="8" t="str">
        <f>IF(H36="","Menunggu nilai h",IF(C36&gt;$H$37,"Signifikan tinggi (&gt;UDL)",IF(C36&lt;$H$38,"Signifikan rendah (&lt;LDL)","Dalam batas (tidak signifikan)")))</f>
        <v>Dalam batas (tidak signifikan)</v>
      </c>
      <c r="G36" s="27" t="s">
        <v>58</v>
      </c>
      <c r="H36" s="19">
        <v>2.88</v>
      </c>
    </row>
    <row r="37" spans="1:8" x14ac:dyDescent="0.25">
      <c r="G37" s="27" t="s">
        <v>59</v>
      </c>
      <c r="H37" s="19">
        <f>H31+H36*H35</f>
        <v>9.5417948555054171</v>
      </c>
    </row>
    <row r="38" spans="1:8" x14ac:dyDescent="0.25">
      <c r="G38" s="27" t="s">
        <v>60</v>
      </c>
      <c r="H38" s="19">
        <f>H31-H36*H35</f>
        <v>-2.8508548555054176</v>
      </c>
    </row>
    <row r="39" spans="1:8" ht="15.75" x14ac:dyDescent="0.25">
      <c r="A39" s="17" t="s">
        <v>76</v>
      </c>
      <c r="B39" s="17"/>
      <c r="C39" s="17"/>
      <c r="D39" s="17"/>
      <c r="E39" s="17"/>
    </row>
    <row r="40" spans="1:8" ht="25.5" x14ac:dyDescent="0.25">
      <c r="A40" s="6" t="s">
        <v>44</v>
      </c>
      <c r="B40" s="6" t="s">
        <v>1</v>
      </c>
      <c r="C40" s="6" t="s">
        <v>51</v>
      </c>
      <c r="D40" s="6" t="s">
        <v>52</v>
      </c>
      <c r="E40" s="6" t="s">
        <v>53</v>
      </c>
      <c r="G40" s="27" t="s">
        <v>18</v>
      </c>
      <c r="H40" s="19">
        <f>'Data Rasio Keuangan'!I82</f>
        <v>178.27900499999998</v>
      </c>
    </row>
    <row r="41" spans="1:8" x14ac:dyDescent="0.25">
      <c r="A41" s="7">
        <v>1</v>
      </c>
      <c r="B41" s="7">
        <v>2021</v>
      </c>
      <c r="C41" s="9">
        <f>'Data Rasio Keuangan'!I77</f>
        <v>170.85537499999998</v>
      </c>
      <c r="D41" s="9">
        <f>C41-$H$40</f>
        <v>-7.4236300000000028</v>
      </c>
      <c r="E41" s="8" t="str">
        <f>IF(H45="","Menunggu nilai h",IF(C41&gt;$H$46,"Signifikan tinggi (&gt;UDL)",IF(C41&lt;$H$47,"Signifikan rendah (&lt;LDL)","Dalam batas (tidak signifikan)")))</f>
        <v>Dalam batas (tidak signifikan)</v>
      </c>
      <c r="G41" s="27" t="s">
        <v>54</v>
      </c>
      <c r="H41" s="19">
        <f>ANOMV!H$22</f>
        <v>134.21669359483332</v>
      </c>
    </row>
    <row r="42" spans="1:8" x14ac:dyDescent="0.25">
      <c r="A42" s="7">
        <v>2</v>
      </c>
      <c r="B42" s="7">
        <v>2022</v>
      </c>
      <c r="C42" s="9">
        <f>'Data Rasio Keuangan'!I78</f>
        <v>189.286025</v>
      </c>
      <c r="D42" s="9">
        <f>C42-$H$40</f>
        <v>11.007020000000011</v>
      </c>
      <c r="E42" s="8" t="str">
        <f>IF(H45="","Menunggu nilai h",IF(C42&gt;$H$46,"Signifikan tinggi (&gt;UDL)",IF(C42&lt;$H$47,"Signifikan rendah (&lt;LDL)","Dalam batas (tidak signifikan)")))</f>
        <v>Dalam batas (tidak signifikan)</v>
      </c>
      <c r="G42" s="27" t="s">
        <v>55</v>
      </c>
      <c r="H42" s="19">
        <v>5</v>
      </c>
    </row>
    <row r="43" spans="1:8" x14ac:dyDescent="0.25">
      <c r="A43" s="7">
        <v>3</v>
      </c>
      <c r="B43" s="7">
        <v>2023</v>
      </c>
      <c r="C43" s="9">
        <f>'Data Rasio Keuangan'!I79</f>
        <v>165.70994999999999</v>
      </c>
      <c r="D43" s="9">
        <f>C43-$H$40</f>
        <v>-12.569054999999992</v>
      </c>
      <c r="E43" s="8" t="str">
        <f>IF(H45="","Menunggu nilai h",IF(C43&gt;$H$46,"Signifikan tinggi (&gt;UDL)",IF(C43&lt;$H$47,"Signifikan rendah (&lt;LDL)","Dalam batas (tidak signifikan)")))</f>
        <v>Dalam batas (tidak signifikan)</v>
      </c>
      <c r="G43" s="27" t="s">
        <v>56</v>
      </c>
      <c r="H43" s="19">
        <v>20</v>
      </c>
    </row>
    <row r="44" spans="1:8" x14ac:dyDescent="0.25">
      <c r="A44" s="7">
        <v>4</v>
      </c>
      <c r="B44" s="7">
        <v>2024</v>
      </c>
      <c r="C44" s="9">
        <f>'Data Rasio Keuangan'!I80</f>
        <v>174.11494999999999</v>
      </c>
      <c r="D44" s="9">
        <f>C44-$H$40</f>
        <v>-4.1640549999999905</v>
      </c>
      <c r="E44" s="8" t="str">
        <f>IF(H45="","Menunggu nilai h",IF(C44&gt;$H$46,"Signifikan tinggi (&gt;UDL)",IF(C44&lt;$H$47,"Signifikan rendah (&lt;LDL)","Dalam batas (tidak signifikan)")))</f>
        <v>Dalam batas (tidak signifikan)</v>
      </c>
      <c r="G44" s="27" t="s">
        <v>57</v>
      </c>
      <c r="H44" s="19">
        <f>SQRT(H41*(H42-1)/H43)</f>
        <v>5.1810557533157917</v>
      </c>
    </row>
    <row r="45" spans="1:8" x14ac:dyDescent="0.25">
      <c r="A45" s="7">
        <v>5</v>
      </c>
      <c r="B45" s="7">
        <v>2025</v>
      </c>
      <c r="C45" s="9">
        <f>'Data Rasio Keuangan'!I81</f>
        <v>191.42872499999999</v>
      </c>
      <c r="D45" s="9">
        <f>C45-$H$40</f>
        <v>13.149720000000002</v>
      </c>
      <c r="E45" s="8" t="str">
        <f>IF(H45="","Menunggu nilai h",IF(C45&gt;$H$46,"Signifikan tinggi (&gt;UDL)",IF(C45&lt;$H$47,"Signifikan rendah (&lt;LDL)","Dalam batas (tidak signifikan)")))</f>
        <v>Dalam batas (tidak signifikan)</v>
      </c>
      <c r="G45" s="27" t="s">
        <v>58</v>
      </c>
      <c r="H45" s="19">
        <v>2.88</v>
      </c>
    </row>
    <row r="46" spans="1:8" x14ac:dyDescent="0.25">
      <c r="G46" s="27" t="s">
        <v>59</v>
      </c>
      <c r="H46" s="19">
        <f>H40+H45*H44</f>
        <v>193.20044556954946</v>
      </c>
    </row>
    <row r="47" spans="1:8" x14ac:dyDescent="0.25">
      <c r="G47" s="27" t="s">
        <v>60</v>
      </c>
      <c r="H47" s="19">
        <f>H40-H45*H44</f>
        <v>163.35756443045051</v>
      </c>
    </row>
    <row r="48" spans="1:8" ht="15.75" x14ac:dyDescent="0.25">
      <c r="A48" s="17" t="s">
        <v>77</v>
      </c>
      <c r="B48" s="17"/>
      <c r="C48" s="17"/>
      <c r="D48" s="17"/>
      <c r="E48" s="17"/>
    </row>
    <row r="49" spans="1:8" ht="25.5" x14ac:dyDescent="0.25">
      <c r="A49" s="6" t="s">
        <v>44</v>
      </c>
      <c r="B49" s="6" t="s">
        <v>1</v>
      </c>
      <c r="C49" s="6" t="s">
        <v>51</v>
      </c>
      <c r="D49" s="6" t="s">
        <v>52</v>
      </c>
      <c r="E49" s="6" t="s">
        <v>53</v>
      </c>
      <c r="G49" s="27" t="s">
        <v>18</v>
      </c>
      <c r="H49" s="19">
        <f>'Data Rasio Keuangan'!J82</f>
        <v>63.97411000000001</v>
      </c>
    </row>
    <row r="50" spans="1:8" x14ac:dyDescent="0.25">
      <c r="A50" s="7">
        <v>1</v>
      </c>
      <c r="B50" s="7">
        <v>2021</v>
      </c>
      <c r="C50" s="9">
        <f>'Data Rasio Keuangan'!J77</f>
        <v>63.072699999999998</v>
      </c>
      <c r="D50" s="9">
        <f>C50-$H$49</f>
        <v>-0.9014100000000127</v>
      </c>
      <c r="E50" s="8" t="str">
        <f>IF(H54="","Menunggu nilai h",IF(C50&gt;$H$55,"Signifikan tinggi (&gt;UDL)",IF(C50&lt;$H$56,"Signifikan rendah (&lt;LDL)","Dalam batas (tidak signifikan)")))</f>
        <v>Dalam batas (tidak signifikan)</v>
      </c>
      <c r="G50" s="27" t="s">
        <v>54</v>
      </c>
      <c r="H50" s="19">
        <f>ANOMV!I$22</f>
        <v>1.9571101409999978</v>
      </c>
    </row>
    <row r="51" spans="1:8" x14ac:dyDescent="0.25">
      <c r="A51" s="7">
        <v>2</v>
      </c>
      <c r="B51" s="7">
        <v>2022</v>
      </c>
      <c r="C51" s="9">
        <f>'Data Rasio Keuangan'!J78</f>
        <v>65.315250000000006</v>
      </c>
      <c r="D51" s="9">
        <f>C51-$H$49</f>
        <v>1.3411399999999958</v>
      </c>
      <c r="E51" s="8" t="str">
        <f>IF(H54="","Menunggu nilai h",IF(C51&gt;$H$55,"Signifikan tinggi (&gt;UDL)",IF(C51&lt;$H$56,"Signifikan rendah (&lt;LDL)","Dalam batas (tidak signifikan)")))</f>
        <v>Dalam batas (tidak signifikan)</v>
      </c>
      <c r="G51" s="27" t="s">
        <v>55</v>
      </c>
      <c r="H51" s="19">
        <v>5</v>
      </c>
    </row>
    <row r="52" spans="1:8" x14ac:dyDescent="0.25">
      <c r="A52" s="7">
        <v>3</v>
      </c>
      <c r="B52" s="7">
        <v>2023</v>
      </c>
      <c r="C52" s="9">
        <f>'Data Rasio Keuangan'!J79</f>
        <v>62.345849999999999</v>
      </c>
      <c r="D52" s="9">
        <f>C52-$H$49</f>
        <v>-1.6282600000000116</v>
      </c>
      <c r="E52" s="8" t="str">
        <f>IF(H54="","Menunggu nilai h",IF(C52&gt;$H$55,"Signifikan tinggi (&gt;UDL)",IF(C52&lt;$H$56,"Signifikan rendah (&lt;LDL)","Dalam batas (tidak signifikan)")))</f>
        <v>Dalam batas (tidak signifikan)</v>
      </c>
      <c r="G52" s="27" t="s">
        <v>56</v>
      </c>
      <c r="H52" s="19">
        <v>20</v>
      </c>
    </row>
    <row r="53" spans="1:8" x14ac:dyDescent="0.25">
      <c r="A53" s="7">
        <v>4</v>
      </c>
      <c r="B53" s="7">
        <v>2024</v>
      </c>
      <c r="C53" s="9">
        <f>'Data Rasio Keuangan'!J80</f>
        <v>63.507074999999993</v>
      </c>
      <c r="D53" s="9">
        <f>C53-$H$49</f>
        <v>-0.46703500000001696</v>
      </c>
      <c r="E53" s="8" t="str">
        <f>IF(H54="","Menunggu nilai h",IF(C53&gt;$H$55,"Signifikan tinggi (&gt;UDL)",IF(C53&lt;$H$56,"Signifikan rendah (&lt;LDL)","Dalam batas (tidak signifikan)")))</f>
        <v>Dalam batas (tidak signifikan)</v>
      </c>
      <c r="G53" s="27" t="s">
        <v>57</v>
      </c>
      <c r="H53" s="19">
        <f>SQRT(H50*(H51-1)/H52)</f>
        <v>0.62563729764137266</v>
      </c>
    </row>
    <row r="54" spans="1:8" x14ac:dyDescent="0.25">
      <c r="A54" s="7">
        <v>5</v>
      </c>
      <c r="B54" s="7">
        <v>2025</v>
      </c>
      <c r="C54" s="9">
        <f>'Data Rasio Keuangan'!J81</f>
        <v>65.629674999999992</v>
      </c>
      <c r="D54" s="9">
        <f>C54-$H$49</f>
        <v>1.6555649999999815</v>
      </c>
      <c r="E54" s="8" t="str">
        <f>IF(H54="","Menunggu nilai h",IF(C54&gt;$H$55,"Signifikan tinggi (&gt;UDL)",IF(C54&lt;$H$56,"Signifikan rendah (&lt;LDL)","Dalam batas (tidak signifikan)")))</f>
        <v>Dalam batas (tidak signifikan)</v>
      </c>
      <c r="G54" s="27" t="s">
        <v>58</v>
      </c>
      <c r="H54" s="19">
        <v>2.88</v>
      </c>
    </row>
    <row r="55" spans="1:8" x14ac:dyDescent="0.25">
      <c r="G55" s="27" t="s">
        <v>59</v>
      </c>
      <c r="H55" s="19">
        <f>H49+H54*H53</f>
        <v>65.775945417207168</v>
      </c>
    </row>
    <row r="56" spans="1:8" x14ac:dyDescent="0.25">
      <c r="G56" s="27" t="s">
        <v>60</v>
      </c>
      <c r="H56" s="19">
        <f>H49-H54*H53</f>
        <v>62.172274582792859</v>
      </c>
    </row>
    <row r="57" spans="1:8" ht="15.75" x14ac:dyDescent="0.25">
      <c r="A57" s="17" t="s">
        <v>78</v>
      </c>
      <c r="B57" s="17"/>
      <c r="C57" s="17"/>
      <c r="D57" s="17"/>
      <c r="E57" s="17"/>
    </row>
    <row r="58" spans="1:8" ht="25.5" x14ac:dyDescent="0.25">
      <c r="A58" s="6" t="s">
        <v>44</v>
      </c>
      <c r="B58" s="6" t="s">
        <v>1</v>
      </c>
      <c r="C58" s="6" t="s">
        <v>51</v>
      </c>
      <c r="D58" s="6" t="s">
        <v>52</v>
      </c>
      <c r="E58" s="6" t="s">
        <v>53</v>
      </c>
      <c r="G58" s="27" t="s">
        <v>18</v>
      </c>
      <c r="H58" s="19">
        <f>'Data Rasio Keuangan'!K82</f>
        <v>0.33267999999999998</v>
      </c>
    </row>
    <row r="59" spans="1:8" x14ac:dyDescent="0.25">
      <c r="A59" s="7">
        <v>1</v>
      </c>
      <c r="B59" s="7">
        <v>2021</v>
      </c>
      <c r="C59" s="9">
        <f>'Data Rasio Keuangan'!K77</f>
        <v>0.33494999999999997</v>
      </c>
      <c r="D59" s="9">
        <f>C59-$H$58</f>
        <v>2.2699999999999942E-3</v>
      </c>
      <c r="E59" s="8" t="str">
        <f>IF(H63="","Menunggu nilai h",IF(C59&gt;$H$64,"Signifikan tinggi (&gt;UDL)",IF(C59&lt;$H$65,"Signifikan rendah (&lt;LDL)","Dalam batas (tidak signifikan)")))</f>
        <v>Dalam batas (tidak signifikan)</v>
      </c>
      <c r="G59" s="27" t="s">
        <v>54</v>
      </c>
      <c r="H59" s="19">
        <f>ANOMV!J$22</f>
        <v>3.0078410000000037E-3</v>
      </c>
    </row>
    <row r="60" spans="1:8" x14ac:dyDescent="0.25">
      <c r="A60" s="7">
        <v>2</v>
      </c>
      <c r="B60" s="7">
        <v>2022</v>
      </c>
      <c r="C60" s="9">
        <f>'Data Rasio Keuangan'!K78</f>
        <v>0.32567499999999999</v>
      </c>
      <c r="D60" s="9">
        <f>C60-$H$58</f>
        <v>-7.0049999999999835E-3</v>
      </c>
      <c r="E60" s="8" t="str">
        <f>IF(H63="","Menunggu nilai h",IF(C60&gt;$H$64,"Signifikan tinggi (&gt;UDL)",IF(C60&lt;$H$65,"Signifikan rendah (&lt;LDL)","Dalam batas (tidak signifikan)")))</f>
        <v>Dalam batas (tidak signifikan)</v>
      </c>
      <c r="G60" s="27" t="s">
        <v>55</v>
      </c>
      <c r="H60" s="19">
        <v>5</v>
      </c>
    </row>
    <row r="61" spans="1:8" x14ac:dyDescent="0.25">
      <c r="A61" s="7">
        <v>3</v>
      </c>
      <c r="B61" s="7">
        <v>2023</v>
      </c>
      <c r="C61" s="9">
        <f>'Data Rasio Keuangan'!K79</f>
        <v>0.28332499999999994</v>
      </c>
      <c r="D61" s="9">
        <f>C61-$H$58</f>
        <v>-4.9355000000000038E-2</v>
      </c>
      <c r="E61" s="8" t="str">
        <f>IF(H63="","Menunggu nilai h",IF(C61&gt;$H$64,"Signifikan tinggi (&gt;UDL)",IF(C61&lt;$H$65,"Signifikan rendah (&lt;LDL)","Dalam batas (tidak signifikan)")))</f>
        <v>Dalam batas (tidak signifikan)</v>
      </c>
      <c r="G61" s="27" t="s">
        <v>56</v>
      </c>
      <c r="H61" s="19">
        <v>20</v>
      </c>
    </row>
    <row r="62" spans="1:8" x14ac:dyDescent="0.25">
      <c r="A62" s="7">
        <v>4</v>
      </c>
      <c r="B62" s="7">
        <v>2024</v>
      </c>
      <c r="C62" s="9">
        <f>'Data Rasio Keuangan'!K80</f>
        <v>0.32440000000000002</v>
      </c>
      <c r="D62" s="9">
        <f>C62-$H$58</f>
        <v>-8.2799999999999541E-3</v>
      </c>
      <c r="E62" s="8" t="str">
        <f>IF(H63="","Menunggu nilai h",IF(C62&gt;$H$64,"Signifikan tinggi (&gt;UDL)",IF(C62&lt;$H$65,"Signifikan rendah (&lt;LDL)","Dalam batas (tidak signifikan)")))</f>
        <v>Dalam batas (tidak signifikan)</v>
      </c>
      <c r="G62" s="27" t="s">
        <v>57</v>
      </c>
      <c r="H62" s="19">
        <f>SQRT(H59*(H60-1)/H61)</f>
        <v>2.4526887287220137E-2</v>
      </c>
    </row>
    <row r="63" spans="1:8" x14ac:dyDescent="0.25">
      <c r="A63" s="7">
        <v>5</v>
      </c>
      <c r="B63" s="7">
        <v>2025</v>
      </c>
      <c r="C63" s="9">
        <f>'Data Rasio Keuangan'!K81</f>
        <v>0.39505000000000001</v>
      </c>
      <c r="D63" s="9">
        <f>C63-$H$58</f>
        <v>6.2370000000000037E-2</v>
      </c>
      <c r="E63" s="8" t="str">
        <f>IF(H63="","Menunggu nilai h",IF(C63&gt;$H$64,"Signifikan tinggi (&gt;UDL)",IF(C63&lt;$H$65,"Signifikan rendah (&lt;LDL)","Dalam batas (tidak signifikan)")))</f>
        <v>Dalam batas (tidak signifikan)</v>
      </c>
      <c r="G63" s="27" t="s">
        <v>58</v>
      </c>
      <c r="H63" s="19">
        <v>2.88</v>
      </c>
    </row>
    <row r="64" spans="1:8" x14ac:dyDescent="0.25">
      <c r="G64" s="27" t="s">
        <v>59</v>
      </c>
      <c r="H64" s="19">
        <f>H58+H63*H62</f>
        <v>0.403317435387194</v>
      </c>
    </row>
    <row r="65" spans="1:8" x14ac:dyDescent="0.25">
      <c r="G65" s="27" t="s">
        <v>60</v>
      </c>
      <c r="H65" s="19">
        <f>H58-H63*H62</f>
        <v>0.26204256461280595</v>
      </c>
    </row>
    <row r="66" spans="1:8" ht="15.75" x14ac:dyDescent="0.25">
      <c r="A66" s="17" t="s">
        <v>79</v>
      </c>
      <c r="B66" s="17"/>
      <c r="C66" s="17"/>
      <c r="D66" s="17"/>
      <c r="E66" s="17"/>
    </row>
    <row r="67" spans="1:8" ht="25.5" x14ac:dyDescent="0.25">
      <c r="A67" s="6" t="s">
        <v>44</v>
      </c>
      <c r="B67" s="6" t="s">
        <v>1</v>
      </c>
      <c r="C67" s="6" t="s">
        <v>51</v>
      </c>
      <c r="D67" s="6" t="s">
        <v>52</v>
      </c>
      <c r="E67" s="6" t="s">
        <v>53</v>
      </c>
      <c r="G67" s="27" t="s">
        <v>18</v>
      </c>
      <c r="H67" s="19">
        <f>'Data Rasio Keuangan'!L82</f>
        <v>0.13172500000000001</v>
      </c>
    </row>
    <row r="68" spans="1:8" x14ac:dyDescent="0.25">
      <c r="A68" s="7">
        <v>1</v>
      </c>
      <c r="B68" s="7">
        <v>2021</v>
      </c>
      <c r="C68" s="9">
        <f>'Data Rasio Keuangan'!L77</f>
        <v>0.13592500000000002</v>
      </c>
      <c r="D68" s="9">
        <f>C68-$H$67</f>
        <v>4.2000000000000093E-3</v>
      </c>
      <c r="E68" s="8" t="str">
        <f>IF(H72="","Menunggu nilai h",IF(C68&gt;$H$73,"Signifikan tinggi (&gt;UDL)",IF(C68&lt;$H$74,"Signifikan rendah (&lt;LDL)","Dalam batas (tidak signifikan)")))</f>
        <v>Dalam batas (tidak signifikan)</v>
      </c>
      <c r="G68" s="27" t="s">
        <v>54</v>
      </c>
      <c r="H68" s="28">
        <f>ANOMV!K$22</f>
        <v>5.6225166666666672E-5</v>
      </c>
    </row>
    <row r="69" spans="1:8" x14ac:dyDescent="0.25">
      <c r="A69" s="7">
        <v>2</v>
      </c>
      <c r="B69" s="7">
        <v>2022</v>
      </c>
      <c r="C69" s="9">
        <f>'Data Rasio Keuangan'!L78</f>
        <v>0.12632499999999999</v>
      </c>
      <c r="D69" s="9">
        <f>C69-$H$67</f>
        <v>-5.4000000000000159E-3</v>
      </c>
      <c r="E69" s="8" t="str">
        <f>IF(H72="","Menunggu nilai h",IF(C69&gt;$H$73,"Signifikan tinggi (&gt;UDL)",IF(C69&lt;$H$74,"Signifikan rendah (&lt;LDL)","Dalam batas (tidak signifikan)")))</f>
        <v>Dalam batas (tidak signifikan)</v>
      </c>
      <c r="G69" s="27" t="s">
        <v>55</v>
      </c>
      <c r="H69" s="19">
        <v>5</v>
      </c>
    </row>
    <row r="70" spans="1:8" x14ac:dyDescent="0.25">
      <c r="A70" s="7">
        <v>3</v>
      </c>
      <c r="B70" s="7">
        <v>2023</v>
      </c>
      <c r="C70" s="9">
        <f>'Data Rasio Keuangan'!L79</f>
        <v>0.12407499999999999</v>
      </c>
      <c r="D70" s="9">
        <f>C70-$H$67</f>
        <v>-7.6500000000000179E-3</v>
      </c>
      <c r="E70" s="8" t="str">
        <f>IF(H72="","Menunggu nilai h",IF(C70&gt;$H$73,"Signifikan tinggi (&gt;UDL)",IF(C70&lt;$H$74,"Signifikan rendah (&lt;LDL)","Dalam batas (tidak signifikan)")))</f>
        <v>Dalam batas (tidak signifikan)</v>
      </c>
      <c r="G70" s="27" t="s">
        <v>56</v>
      </c>
      <c r="H70" s="19">
        <v>20</v>
      </c>
    </row>
    <row r="71" spans="1:8" x14ac:dyDescent="0.25">
      <c r="A71" s="7">
        <v>4</v>
      </c>
      <c r="B71" s="7">
        <v>2024</v>
      </c>
      <c r="C71" s="9">
        <f>'Data Rasio Keuangan'!L80</f>
        <v>0.13347499999999998</v>
      </c>
      <c r="D71" s="9">
        <f>C71-$H$67</f>
        <v>1.7499999999999738E-3</v>
      </c>
      <c r="E71" s="8" t="str">
        <f>IF(H72="","Menunggu nilai h",IF(C71&gt;$H$73,"Signifikan tinggi (&gt;UDL)",IF(C71&lt;$H$74,"Signifikan rendah (&lt;LDL)","Dalam batas (tidak signifikan)")))</f>
        <v>Dalam batas (tidak signifikan)</v>
      </c>
      <c r="G71" s="27" t="s">
        <v>57</v>
      </c>
      <c r="H71" s="19">
        <f>SQRT(H68*(H69-1)/H70)</f>
        <v>3.3533614975623095E-3</v>
      </c>
    </row>
    <row r="72" spans="1:8" x14ac:dyDescent="0.25">
      <c r="A72" s="7">
        <v>5</v>
      </c>
      <c r="B72" s="7">
        <v>2025</v>
      </c>
      <c r="C72" s="9">
        <f>'Data Rasio Keuangan'!L81</f>
        <v>0.13882499999999998</v>
      </c>
      <c r="D72" s="9">
        <f>C72-$H$67</f>
        <v>7.0999999999999674E-3</v>
      </c>
      <c r="E72" s="8" t="str">
        <f>IF(H72="","Menunggu nilai h",IF(C72&gt;$H$73,"Signifikan tinggi (&gt;UDL)",IF(C72&lt;$H$74,"Signifikan rendah (&lt;LDL)","Dalam batas (tidak signifikan)")))</f>
        <v>Dalam batas (tidak signifikan)</v>
      </c>
      <c r="G72" s="27" t="s">
        <v>58</v>
      </c>
      <c r="H72" s="19">
        <v>2.88</v>
      </c>
    </row>
    <row r="73" spans="1:8" x14ac:dyDescent="0.25">
      <c r="G73" s="27" t="s">
        <v>59</v>
      </c>
      <c r="H73" s="19">
        <f>H67+H72*H71</f>
        <v>0.14138268111297947</v>
      </c>
    </row>
    <row r="74" spans="1:8" x14ac:dyDescent="0.25">
      <c r="G74" s="27" t="s">
        <v>60</v>
      </c>
      <c r="H74" s="19">
        <f>H67-H72*H71</f>
        <v>0.12206731888702056</v>
      </c>
    </row>
  </sheetData>
  <mergeCells count="9">
    <mergeCell ref="A30:E30"/>
    <mergeCell ref="A39:E39"/>
    <mergeCell ref="A48:E48"/>
    <mergeCell ref="A57:E57"/>
    <mergeCell ref="A66:E66"/>
    <mergeCell ref="A1:H1"/>
    <mergeCell ref="A3:E3"/>
    <mergeCell ref="A12:E12"/>
    <mergeCell ref="A21:E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Rasio Keuangan</vt:lpstr>
      <vt:lpstr>Uji Normalitas KS</vt:lpstr>
      <vt:lpstr>ANOMV</vt:lpstr>
      <vt:lpstr>Analisis ANOM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zainal malik</cp:lastModifiedBy>
  <cp:revision>0</cp:revision>
  <dcterms:created xsi:type="dcterms:W3CDTF">2026-08-02T09:09:04Z</dcterms:created>
  <dcterms:modified xsi:type="dcterms:W3CDTF">2026-08-09T12:59:51Z</dcterms:modified>
  <dc:language>en-US</dc:language>
</cp:coreProperties>
</file>