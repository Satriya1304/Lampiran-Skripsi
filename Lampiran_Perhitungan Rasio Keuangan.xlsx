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9F6A8D9-F4FE-4544-86F8-B554D9936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sio Keuang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4" i="1" l="1"/>
  <c r="G84" i="1"/>
  <c r="J83" i="1"/>
  <c r="I83" i="1"/>
  <c r="L82" i="1"/>
  <c r="K82" i="1"/>
  <c r="J82" i="1"/>
  <c r="I82" i="1"/>
  <c r="H81" i="1"/>
  <c r="H94" i="1" s="1"/>
  <c r="G81" i="1"/>
  <c r="J80" i="1"/>
  <c r="I80" i="1"/>
  <c r="K79" i="1"/>
  <c r="J79" i="1"/>
  <c r="I79" i="1"/>
  <c r="F79" i="1"/>
  <c r="H78" i="1"/>
  <c r="G78" i="1"/>
  <c r="J77" i="1"/>
  <c r="I77" i="1"/>
  <c r="K76" i="1"/>
  <c r="J76" i="1"/>
  <c r="I76" i="1"/>
  <c r="H75" i="1"/>
  <c r="G75" i="1"/>
  <c r="J74" i="1"/>
  <c r="I74" i="1"/>
  <c r="J73" i="1"/>
  <c r="J92" i="1" s="1"/>
  <c r="I73" i="1"/>
  <c r="H72" i="1"/>
  <c r="G72" i="1"/>
  <c r="J71" i="1"/>
  <c r="I71" i="1"/>
  <c r="L70" i="1"/>
  <c r="K70" i="1"/>
  <c r="J70" i="1"/>
  <c r="I70" i="1"/>
  <c r="H69" i="1"/>
  <c r="G69" i="1"/>
  <c r="J68" i="1"/>
  <c r="I68" i="1"/>
  <c r="K67" i="1"/>
  <c r="J67" i="1"/>
  <c r="I67" i="1"/>
  <c r="F67" i="1"/>
  <c r="H66" i="1"/>
  <c r="G66" i="1"/>
  <c r="J65" i="1"/>
  <c r="I65" i="1"/>
  <c r="K64" i="1"/>
  <c r="J64" i="1"/>
  <c r="I64" i="1"/>
  <c r="H63" i="1"/>
  <c r="G63" i="1"/>
  <c r="J62" i="1"/>
  <c r="I62" i="1"/>
  <c r="J61" i="1"/>
  <c r="J89" i="1" s="1"/>
  <c r="I61" i="1"/>
  <c r="P55" i="1"/>
  <c r="O55" i="1"/>
  <c r="N55" i="1"/>
  <c r="M55" i="1"/>
  <c r="J84" i="1" s="1"/>
  <c r="L55" i="1"/>
  <c r="K55" i="1"/>
  <c r="J55" i="1"/>
  <c r="I55" i="1"/>
  <c r="F84" i="1" s="1"/>
  <c r="G55" i="1"/>
  <c r="H55" i="1" s="1"/>
  <c r="E55" i="1"/>
  <c r="F55" i="1" s="1"/>
  <c r="P54" i="1"/>
  <c r="L83" i="1" s="1"/>
  <c r="O54" i="1"/>
  <c r="H83" i="1" s="1"/>
  <c r="N54" i="1"/>
  <c r="M54" i="1"/>
  <c r="L54" i="1"/>
  <c r="K54" i="1"/>
  <c r="J54" i="1"/>
  <c r="K83" i="1" s="1"/>
  <c r="I54" i="1"/>
  <c r="F83" i="1" s="1"/>
  <c r="G54" i="1"/>
  <c r="H54" i="1" s="1"/>
  <c r="F54" i="1"/>
  <c r="E54" i="1"/>
  <c r="P53" i="1"/>
  <c r="O53" i="1"/>
  <c r="H82" i="1" s="1"/>
  <c r="N53" i="1"/>
  <c r="M53" i="1"/>
  <c r="L53" i="1"/>
  <c r="K53" i="1"/>
  <c r="J53" i="1"/>
  <c r="I53" i="1"/>
  <c r="F82" i="1" s="1"/>
  <c r="G53" i="1"/>
  <c r="H53" i="1" s="1"/>
  <c r="E53" i="1"/>
  <c r="F53" i="1" s="1"/>
  <c r="P52" i="1"/>
  <c r="O52" i="1"/>
  <c r="N52" i="1"/>
  <c r="M52" i="1"/>
  <c r="J81" i="1" s="1"/>
  <c r="L52" i="1"/>
  <c r="K52" i="1"/>
  <c r="J52" i="1"/>
  <c r="K81" i="1" s="1"/>
  <c r="I52" i="1"/>
  <c r="F81" i="1" s="1"/>
  <c r="G52" i="1"/>
  <c r="H52" i="1" s="1"/>
  <c r="E52" i="1"/>
  <c r="F52" i="1" s="1"/>
  <c r="P51" i="1"/>
  <c r="L80" i="1" s="1"/>
  <c r="O51" i="1"/>
  <c r="H80" i="1" s="1"/>
  <c r="N51" i="1"/>
  <c r="M51" i="1"/>
  <c r="L51" i="1"/>
  <c r="K51" i="1"/>
  <c r="J51" i="1"/>
  <c r="I51" i="1"/>
  <c r="F80" i="1" s="1"/>
  <c r="G51" i="1"/>
  <c r="H51" i="1" s="1"/>
  <c r="F51" i="1"/>
  <c r="E51" i="1"/>
  <c r="P50" i="1"/>
  <c r="O50" i="1"/>
  <c r="H79" i="1" s="1"/>
  <c r="N50" i="1"/>
  <c r="M50" i="1"/>
  <c r="L50" i="1"/>
  <c r="L79" i="1" s="1"/>
  <c r="K50" i="1"/>
  <c r="J50" i="1"/>
  <c r="I50" i="1"/>
  <c r="G50" i="1"/>
  <c r="H50" i="1" s="1"/>
  <c r="E50" i="1"/>
  <c r="F50" i="1" s="1"/>
  <c r="E79" i="1" s="1"/>
  <c r="P49" i="1"/>
  <c r="L78" i="1" s="1"/>
  <c r="O49" i="1"/>
  <c r="N49" i="1"/>
  <c r="M49" i="1"/>
  <c r="J78" i="1" s="1"/>
  <c r="L49" i="1"/>
  <c r="K49" i="1"/>
  <c r="J49" i="1"/>
  <c r="K78" i="1" s="1"/>
  <c r="I49" i="1"/>
  <c r="F78" i="1" s="1"/>
  <c r="G49" i="1"/>
  <c r="H49" i="1" s="1"/>
  <c r="E49" i="1"/>
  <c r="F49" i="1" s="1"/>
  <c r="P48" i="1"/>
  <c r="L77" i="1" s="1"/>
  <c r="O48" i="1"/>
  <c r="H77" i="1" s="1"/>
  <c r="N48" i="1"/>
  <c r="M48" i="1"/>
  <c r="L48" i="1"/>
  <c r="K48" i="1"/>
  <c r="J48" i="1"/>
  <c r="K77" i="1" s="1"/>
  <c r="I48" i="1"/>
  <c r="F77" i="1" s="1"/>
  <c r="G48" i="1"/>
  <c r="H48" i="1" s="1"/>
  <c r="E48" i="1"/>
  <c r="F48" i="1" s="1"/>
  <c r="P47" i="1"/>
  <c r="O47" i="1"/>
  <c r="H76" i="1" s="1"/>
  <c r="N47" i="1"/>
  <c r="M47" i="1"/>
  <c r="L47" i="1"/>
  <c r="L76" i="1" s="1"/>
  <c r="K47" i="1"/>
  <c r="J47" i="1"/>
  <c r="I47" i="1"/>
  <c r="F76" i="1" s="1"/>
  <c r="G47" i="1"/>
  <c r="H47" i="1" s="1"/>
  <c r="E76" i="1" s="1"/>
  <c r="F47" i="1"/>
  <c r="E47" i="1"/>
  <c r="P46" i="1"/>
  <c r="O46" i="1"/>
  <c r="N46" i="1"/>
  <c r="M46" i="1"/>
  <c r="J75" i="1" s="1"/>
  <c r="L46" i="1"/>
  <c r="K46" i="1"/>
  <c r="J46" i="1"/>
  <c r="I46" i="1"/>
  <c r="F75" i="1" s="1"/>
  <c r="G46" i="1"/>
  <c r="H46" i="1" s="1"/>
  <c r="E75" i="1" s="1"/>
  <c r="F46" i="1"/>
  <c r="E46" i="1"/>
  <c r="P45" i="1"/>
  <c r="O45" i="1"/>
  <c r="H74" i="1" s="1"/>
  <c r="N45" i="1"/>
  <c r="M45" i="1"/>
  <c r="L45" i="1"/>
  <c r="K45" i="1"/>
  <c r="J45" i="1"/>
  <c r="K74" i="1" s="1"/>
  <c r="I45" i="1"/>
  <c r="F74" i="1" s="1"/>
  <c r="G45" i="1"/>
  <c r="H45" i="1" s="1"/>
  <c r="E45" i="1"/>
  <c r="F45" i="1" s="1"/>
  <c r="P44" i="1"/>
  <c r="O44" i="1"/>
  <c r="H73" i="1" s="1"/>
  <c r="N44" i="1"/>
  <c r="M44" i="1"/>
  <c r="L44" i="1"/>
  <c r="L73" i="1" s="1"/>
  <c r="K44" i="1"/>
  <c r="J44" i="1"/>
  <c r="K73" i="1" s="1"/>
  <c r="I44" i="1"/>
  <c r="F73" i="1" s="1"/>
  <c r="F92" i="1" s="1"/>
  <c r="G44" i="1"/>
  <c r="H44" i="1" s="1"/>
  <c r="E44" i="1"/>
  <c r="F44" i="1" s="1"/>
  <c r="E73" i="1" s="1"/>
  <c r="P43" i="1"/>
  <c r="L72" i="1" s="1"/>
  <c r="O43" i="1"/>
  <c r="N43" i="1"/>
  <c r="M43" i="1"/>
  <c r="J72" i="1" s="1"/>
  <c r="L43" i="1"/>
  <c r="K43" i="1"/>
  <c r="J43" i="1"/>
  <c r="I43" i="1"/>
  <c r="F72" i="1" s="1"/>
  <c r="G43" i="1"/>
  <c r="H43" i="1" s="1"/>
  <c r="E72" i="1" s="1"/>
  <c r="E43" i="1"/>
  <c r="F43" i="1" s="1"/>
  <c r="P42" i="1"/>
  <c r="L71" i="1" s="1"/>
  <c r="O42" i="1"/>
  <c r="H71" i="1" s="1"/>
  <c r="N42" i="1"/>
  <c r="M42" i="1"/>
  <c r="L42" i="1"/>
  <c r="K42" i="1"/>
  <c r="J42" i="1"/>
  <c r="K71" i="1" s="1"/>
  <c r="I42" i="1"/>
  <c r="F71" i="1" s="1"/>
  <c r="G42" i="1"/>
  <c r="H42" i="1" s="1"/>
  <c r="F42" i="1"/>
  <c r="E42" i="1"/>
  <c r="P41" i="1"/>
  <c r="O41" i="1"/>
  <c r="H70" i="1" s="1"/>
  <c r="N41" i="1"/>
  <c r="M41" i="1"/>
  <c r="L41" i="1"/>
  <c r="K41" i="1"/>
  <c r="J41" i="1"/>
  <c r="I41" i="1"/>
  <c r="F70" i="1" s="1"/>
  <c r="G41" i="1"/>
  <c r="H41" i="1" s="1"/>
  <c r="E41" i="1"/>
  <c r="F41" i="1" s="1"/>
  <c r="P40" i="1"/>
  <c r="O40" i="1"/>
  <c r="N40" i="1"/>
  <c r="M40" i="1"/>
  <c r="J69" i="1" s="1"/>
  <c r="J91" i="1" s="1"/>
  <c r="L40" i="1"/>
  <c r="K40" i="1"/>
  <c r="J40" i="1"/>
  <c r="K69" i="1" s="1"/>
  <c r="I40" i="1"/>
  <c r="F69" i="1" s="1"/>
  <c r="G40" i="1"/>
  <c r="H40" i="1" s="1"/>
  <c r="E40" i="1"/>
  <c r="F40" i="1" s="1"/>
  <c r="P39" i="1"/>
  <c r="L68" i="1" s="1"/>
  <c r="O39" i="1"/>
  <c r="H68" i="1" s="1"/>
  <c r="N39" i="1"/>
  <c r="M39" i="1"/>
  <c r="L39" i="1"/>
  <c r="K39" i="1"/>
  <c r="J39" i="1"/>
  <c r="I39" i="1"/>
  <c r="F68" i="1" s="1"/>
  <c r="G39" i="1"/>
  <c r="H39" i="1" s="1"/>
  <c r="F39" i="1"/>
  <c r="E39" i="1"/>
  <c r="P38" i="1"/>
  <c r="O38" i="1"/>
  <c r="H67" i="1" s="1"/>
  <c r="N38" i="1"/>
  <c r="M38" i="1"/>
  <c r="L38" i="1"/>
  <c r="L67" i="1" s="1"/>
  <c r="K38" i="1"/>
  <c r="J38" i="1"/>
  <c r="I38" i="1"/>
  <c r="G38" i="1"/>
  <c r="H38" i="1" s="1"/>
  <c r="E38" i="1"/>
  <c r="F38" i="1" s="1"/>
  <c r="P37" i="1"/>
  <c r="L66" i="1" s="1"/>
  <c r="O37" i="1"/>
  <c r="N37" i="1"/>
  <c r="M37" i="1"/>
  <c r="J66" i="1" s="1"/>
  <c r="L37" i="1"/>
  <c r="K37" i="1"/>
  <c r="J37" i="1"/>
  <c r="K66" i="1" s="1"/>
  <c r="I37" i="1"/>
  <c r="F66" i="1" s="1"/>
  <c r="G37" i="1"/>
  <c r="H37" i="1" s="1"/>
  <c r="E37" i="1"/>
  <c r="F37" i="1" s="1"/>
  <c r="P36" i="1"/>
  <c r="L65" i="1" s="1"/>
  <c r="O36" i="1"/>
  <c r="H65" i="1" s="1"/>
  <c r="H90" i="1" s="1"/>
  <c r="N36" i="1"/>
  <c r="M36" i="1"/>
  <c r="L36" i="1"/>
  <c r="K36" i="1"/>
  <c r="J36" i="1"/>
  <c r="K65" i="1" s="1"/>
  <c r="I36" i="1"/>
  <c r="F65" i="1" s="1"/>
  <c r="G36" i="1"/>
  <c r="H36" i="1" s="1"/>
  <c r="E36" i="1"/>
  <c r="F36" i="1" s="1"/>
  <c r="P35" i="1"/>
  <c r="O35" i="1"/>
  <c r="H64" i="1" s="1"/>
  <c r="N35" i="1"/>
  <c r="M35" i="1"/>
  <c r="L35" i="1"/>
  <c r="L64" i="1" s="1"/>
  <c r="K35" i="1"/>
  <c r="J35" i="1"/>
  <c r="I35" i="1"/>
  <c r="F64" i="1" s="1"/>
  <c r="G35" i="1"/>
  <c r="H35" i="1" s="1"/>
  <c r="E64" i="1" s="1"/>
  <c r="F35" i="1"/>
  <c r="E35" i="1"/>
  <c r="P34" i="1"/>
  <c r="O34" i="1"/>
  <c r="N34" i="1"/>
  <c r="M34" i="1"/>
  <c r="J63" i="1" s="1"/>
  <c r="L34" i="1"/>
  <c r="K34" i="1"/>
  <c r="J34" i="1"/>
  <c r="I34" i="1"/>
  <c r="F63" i="1" s="1"/>
  <c r="G34" i="1"/>
  <c r="H34" i="1" s="1"/>
  <c r="E63" i="1" s="1"/>
  <c r="F34" i="1"/>
  <c r="E34" i="1"/>
  <c r="P33" i="1"/>
  <c r="O33" i="1"/>
  <c r="H62" i="1" s="1"/>
  <c r="N33" i="1"/>
  <c r="M33" i="1"/>
  <c r="L33" i="1"/>
  <c r="K33" i="1"/>
  <c r="J33" i="1"/>
  <c r="K62" i="1" s="1"/>
  <c r="I33" i="1"/>
  <c r="F62" i="1" s="1"/>
  <c r="G33" i="1"/>
  <c r="H33" i="1" s="1"/>
  <c r="E33" i="1"/>
  <c r="F33" i="1" s="1"/>
  <c r="P32" i="1"/>
  <c r="O32" i="1"/>
  <c r="H61" i="1" s="1"/>
  <c r="N32" i="1"/>
  <c r="M32" i="1"/>
  <c r="L32" i="1"/>
  <c r="L61" i="1" s="1"/>
  <c r="K32" i="1"/>
  <c r="J32" i="1"/>
  <c r="K61" i="1" s="1"/>
  <c r="I32" i="1"/>
  <c r="F61" i="1" s="1"/>
  <c r="G32" i="1"/>
  <c r="H32" i="1" s="1"/>
  <c r="E32" i="1"/>
  <c r="F32" i="1" s="1"/>
  <c r="E61" i="1" s="1"/>
  <c r="E78" i="1" l="1"/>
  <c r="E70" i="1"/>
  <c r="F93" i="1"/>
  <c r="L92" i="1"/>
  <c r="N91" i="1"/>
  <c r="E84" i="1"/>
  <c r="E69" i="1"/>
  <c r="F91" i="1"/>
  <c r="F89" i="1"/>
  <c r="E82" i="1"/>
  <c r="L90" i="1"/>
  <c r="E67" i="1"/>
  <c r="M92" i="1"/>
  <c r="E92" i="1"/>
  <c r="E81" i="1"/>
  <c r="E66" i="1"/>
  <c r="F94" i="1"/>
  <c r="E83" i="1"/>
  <c r="K72" i="1"/>
  <c r="H93" i="1"/>
  <c r="K84" i="1"/>
  <c r="L93" i="1"/>
  <c r="I93" i="1"/>
  <c r="E80" i="1"/>
  <c r="J90" i="1"/>
  <c r="J95" i="1" s="1"/>
  <c r="J93" i="1"/>
  <c r="E71" i="1"/>
  <c r="E68" i="1"/>
  <c r="L63" i="1"/>
  <c r="K91" i="1"/>
  <c r="L75" i="1"/>
  <c r="N94" i="1"/>
  <c r="K94" i="1"/>
  <c r="K90" i="1"/>
  <c r="H89" i="1"/>
  <c r="L62" i="1"/>
  <c r="L89" i="1" s="1"/>
  <c r="K68" i="1"/>
  <c r="N90" i="1" s="1"/>
  <c r="H92" i="1"/>
  <c r="L74" i="1"/>
  <c r="K80" i="1"/>
  <c r="N93" i="1" s="1"/>
  <c r="E65" i="1"/>
  <c r="E77" i="1"/>
  <c r="F90" i="1"/>
  <c r="J94" i="1"/>
  <c r="L84" i="1"/>
  <c r="H91" i="1"/>
  <c r="E62" i="1"/>
  <c r="E89" i="1" s="1"/>
  <c r="E74" i="1"/>
  <c r="K63" i="1"/>
  <c r="N89" i="1" s="1"/>
  <c r="L69" i="1"/>
  <c r="L91" i="1" s="1"/>
  <c r="K75" i="1"/>
  <c r="N92" i="1" s="1"/>
  <c r="L81" i="1"/>
  <c r="I92" i="1"/>
  <c r="I63" i="1"/>
  <c r="I89" i="1" s="1"/>
  <c r="I66" i="1"/>
  <c r="I90" i="1" s="1"/>
  <c r="I69" i="1"/>
  <c r="I91" i="1" s="1"/>
  <c r="I72" i="1"/>
  <c r="I75" i="1"/>
  <c r="I78" i="1"/>
  <c r="I81" i="1"/>
  <c r="I94" i="1" s="1"/>
  <c r="I84" i="1"/>
  <c r="G62" i="1"/>
  <c r="G65" i="1"/>
  <c r="G68" i="1"/>
  <c r="G71" i="1"/>
  <c r="G74" i="1"/>
  <c r="G77" i="1"/>
  <c r="G80" i="1"/>
  <c r="G83" i="1"/>
  <c r="G61" i="1"/>
  <c r="G89" i="1" s="1"/>
  <c r="G64" i="1"/>
  <c r="G67" i="1"/>
  <c r="G70" i="1"/>
  <c r="G91" i="1" s="1"/>
  <c r="G73" i="1"/>
  <c r="G76" i="1"/>
  <c r="G79" i="1"/>
  <c r="G82" i="1"/>
  <c r="G94" i="1" s="1"/>
  <c r="I95" i="1" l="1"/>
  <c r="N95" i="1"/>
  <c r="K93" i="1"/>
  <c r="E94" i="1"/>
  <c r="M94" i="1"/>
  <c r="M89" i="1"/>
  <c r="K89" i="1"/>
  <c r="H95" i="1"/>
  <c r="L94" i="1"/>
  <c r="L95" i="1" s="1"/>
  <c r="G90" i="1"/>
  <c r="G92" i="1"/>
  <c r="M93" i="1"/>
  <c r="E93" i="1"/>
  <c r="G93" i="1"/>
  <c r="E90" i="1"/>
  <c r="E95" i="1" s="1"/>
  <c r="M90" i="1"/>
  <c r="F95" i="1"/>
  <c r="E91" i="1"/>
  <c r="M91" i="1"/>
  <c r="K92" i="1"/>
  <c r="G95" i="1"/>
  <c r="K95" i="1" l="1"/>
  <c r="M95" i="1"/>
</calcChain>
</file>

<file path=xl/sharedStrings.xml><?xml version="1.0" encoding="utf-8"?>
<sst xmlns="http://schemas.openxmlformats.org/spreadsheetml/2006/main" count="248" uniqueCount="86">
  <si>
    <t>INPUT DATA MENTAH LAPORAN KEUANGAN PT XL AXIATA Tbk (EXCL) &amp; PT SMARTFREN TELECOM Tbk (FREN)</t>
  </si>
  <si>
    <t>Sumber: Laporan Keuangan Konsolidasian Teraudit | IDX &amp; Investor Relations | Satuan: Rp Miliar</t>
  </si>
  <si>
    <t>No</t>
  </si>
  <si>
    <t>Tahun</t>
  </si>
  <si>
    <t>Kuartal</t>
  </si>
  <si>
    <t>Keterangan</t>
  </si>
  <si>
    <t>Total Aset
(Rp Miliar)</t>
  </si>
  <si>
    <t>Aset Lancar
(Rp Miliar)</t>
  </si>
  <si>
    <t>Liabilitas
Lancar
(Rp Miliar)</t>
  </si>
  <si>
    <t>Net PP&amp;E
(Aset Tetap Bersih)
(Rp Miliar)</t>
  </si>
  <si>
    <t>Short Term
Debt
(Rp Miliar)</t>
  </si>
  <si>
    <t>Long Term
Debt
(Rp Miliar)</t>
  </si>
  <si>
    <t>Total Hutang
(Rp Miliar)</t>
  </si>
  <si>
    <t>Total Ekuitas
(Rp Miliar)</t>
  </si>
  <si>
    <t>EBIT
(Rp Miliar)</t>
  </si>
  <si>
    <t>Pretax
Income
(Rp Miliar)</t>
  </si>
  <si>
    <t>Taxes
(Rp Miliar)</t>
  </si>
  <si>
    <t>Laba Bersih
(Rp Miliar)</t>
  </si>
  <si>
    <t>Total
Pendapatan
(Rp Miliar)</t>
  </si>
  <si>
    <t>Periode
Original</t>
  </si>
  <si>
    <t>Q1</t>
  </si>
  <si>
    <t>Sebelum Merger</t>
  </si>
  <si>
    <t>Q1'20 Mar 2020</t>
  </si>
  <si>
    <t>Q2</t>
  </si>
  <si>
    <t>Q2'20 Jun 2020</t>
  </si>
  <si>
    <t>Q3</t>
  </si>
  <si>
    <t>Q3'20 Sep 2020</t>
  </si>
  <si>
    <t>Q4</t>
  </si>
  <si>
    <t>Q4'20 Des 2020</t>
  </si>
  <si>
    <t>Q1'21 Mar 2021</t>
  </si>
  <si>
    <t>Q2'21 Jun 2021</t>
  </si>
  <si>
    <t>Q3'21 Sep 2021</t>
  </si>
  <si>
    <t>Q4'21 Des 2021</t>
  </si>
  <si>
    <t>Q1'22 Mar 2022</t>
  </si>
  <si>
    <t>Q2'22 Jun 2022</t>
  </si>
  <si>
    <t>Q3'22 Sep 2022</t>
  </si>
  <si>
    <t>Q4'22 Des 2022</t>
  </si>
  <si>
    <t>Q1'23 Mar 2023</t>
  </si>
  <si>
    <t>Q2'23 Jun 2023</t>
  </si>
  <si>
    <t>Q3'23 Sep 2023</t>
  </si>
  <si>
    <t>Q4'23 Des 2023</t>
  </si>
  <si>
    <t>Q1'24 Mar 2024</t>
  </si>
  <si>
    <t>Q2'24 Jun 2024</t>
  </si>
  <si>
    <t>Q3'24 Sep 2024</t>
  </si>
  <si>
    <t>Q4'24 Des 2024</t>
  </si>
  <si>
    <t>Sesudah Merger</t>
  </si>
  <si>
    <t>Q1'25 Mar 2025</t>
  </si>
  <si>
    <t>Q2'25 Jun 2025</t>
  </si>
  <si>
    <t>Q3'25 Sep 2025</t>
  </si>
  <si>
    <t>Q4'25 Des 2025</t>
  </si>
  <si>
    <t>TABULASI DATA KEUANGAN (KOMPONEN TURUNAN UNTUK PERHITUNGAN RASIO)</t>
  </si>
  <si>
    <t>Utang
Berbunga
(Rp Miliar)
= Short+Long Debt</t>
  </si>
  <si>
    <t>Invested
Capital
(Rp Miliar)
= Ekuitas+Utg Berbunga</t>
  </si>
  <si>
    <t>Tax Rate
Efektif (%)
= |Taxes|/|Pretax|</t>
  </si>
  <si>
    <t>NOPAT
(Rp Miliar)
= EBIT×(1−TaxRate)</t>
  </si>
  <si>
    <t>Total Aset
(ref)</t>
  </si>
  <si>
    <t>Aset Lancar
(ref)</t>
  </si>
  <si>
    <t>Liabilitas
Lancar (ref)</t>
  </si>
  <si>
    <t>Net PP&amp;E
(ref)</t>
  </si>
  <si>
    <t>Total Hutang
(ref)</t>
  </si>
  <si>
    <t>Total Ekuitas
(ref)</t>
  </si>
  <si>
    <t>Laba Bersih
(ref)</t>
  </si>
  <si>
    <t>Total
Pendapatan
(ref)</t>
  </si>
  <si>
    <t>PERHITUNGAN RASIO KEUANGAN PER KUARTAL</t>
  </si>
  <si>
    <t>ROIC =
NOPAT /
Inv.Capital × 100</t>
  </si>
  <si>
    <t>ROA =
Laba Bersih /
Total Aset × 100</t>
  </si>
  <si>
    <t>ROE =
Laba Bersih /
Total Ekuitas × 100</t>
  </si>
  <si>
    <t>NPM =
Laba Bersih /
Total Pend. × 100</t>
  </si>
  <si>
    <t>DER =
Total Hutang /
Total Ekuitas × 100</t>
  </si>
  <si>
    <t>TDTC =
Total Hutang /
(Hutang+Ekuitas) × 100</t>
  </si>
  <si>
    <t>CR =
Aset Lancar /
Liab. Lancar</t>
  </si>
  <si>
    <t>FAT =
Total Pend. /
Net PP&amp;E</t>
  </si>
  <si>
    <t>ROIC
(%)</t>
  </si>
  <si>
    <t>ROA
(%)</t>
  </si>
  <si>
    <t>ROE
(%)</t>
  </si>
  <si>
    <t>NPM
(%)</t>
  </si>
  <si>
    <t>DER
(%)</t>
  </si>
  <si>
    <t>TDTC
(%)</t>
  </si>
  <si>
    <t>CR
(kali)</t>
  </si>
  <si>
    <t>FAT
(kali)</t>
  </si>
  <si>
    <t>RATA-RATA TAHUNAN RASIO KEUANGAN - INPUT ANALISIS ANOM (I = 6 Kelompok, n = 4 Kuartal/Kelompok)</t>
  </si>
  <si>
    <t>Kelompok
(i)</t>
  </si>
  <si>
    <t>n
(Kuartal)</t>
  </si>
  <si>
    <t>Variansi
ROIC (s²)</t>
  </si>
  <si>
    <t>Variansi
CR (s²)</t>
  </si>
  <si>
    <t>GRAND MEAN  (ȳ..)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</si>
</sst>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>
    <font>
      <sz val="11"/>
      <color theme="1"/>
      <name val="Calibri"/>
      <scheme val="minor"/>
    </font>
    <font>
      <b/>
      <sz val="13"/>
      <color rgb="FF000000"/>
      <name val="Times New Roman"/>
    </font>
    <font>
      <sz val="11"/>
      <name val="Calibri"/>
    </font>
    <font>
      <sz val="9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3"/>
      <color rgb="FFFFFFFF"/>
      <name val="Times New Roman"/>
    </font>
    <font>
      <i/>
      <sz val="8"/>
      <color rgb="FF000000"/>
      <name val="Times New Roman"/>
    </font>
    <font>
      <sz val="11"/>
      <color rgb="FF000000"/>
      <name val="Calibri"/>
      <scheme val="minor"/>
    </font>
    <font>
      <b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4" fontId="5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5" xfId="0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2" fontId="9" fillId="0" borderId="16" xfId="0" applyNumberFormat="1" applyFont="1" applyBorder="1" applyAlignment="1">
      <alignment horizontal="center" vertical="center" wrapText="1"/>
    </xf>
    <xf numFmtId="164" fontId="9" fillId="0" borderId="16" xfId="0" applyNumberFormat="1" applyFont="1" applyBorder="1" applyAlignment="1">
      <alignment horizontal="center" vertical="center" wrapText="1"/>
    </xf>
    <xf numFmtId="165" fontId="9" fillId="0" borderId="1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9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showGridLines="0" tabSelected="1" workbookViewId="0">
      <pane xSplit="4" topLeftCell="E1" activePane="topRight" state="frozen"/>
      <selection pane="topRight" activeCell="A31" sqref="A31:XFD31"/>
    </sheetView>
  </sheetViews>
  <sheetFormatPr defaultColWidth="14.42578125" defaultRowHeight="15" customHeight="1"/>
  <cols>
    <col min="1" max="1" width="4" customWidth="1"/>
    <col min="2" max="2" width="7" customWidth="1"/>
    <col min="3" max="3" width="8" customWidth="1"/>
    <col min="4" max="4" width="16" customWidth="1"/>
    <col min="5" max="7" width="14" customWidth="1"/>
    <col min="8" max="8" width="17" customWidth="1"/>
    <col min="9" max="11" width="13" customWidth="1"/>
    <col min="12" max="12" width="14" customWidth="1"/>
    <col min="13" max="13" width="12" customWidth="1"/>
    <col min="14" max="14" width="13" customWidth="1"/>
    <col min="15" max="15" width="12" customWidth="1"/>
    <col min="16" max="16" width="13" customWidth="1"/>
    <col min="17" max="18" width="14" customWidth="1"/>
    <col min="19" max="26" width="8.7109375" customWidth="1"/>
  </cols>
  <sheetData>
    <row r="1" spans="1:18" ht="27.7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</row>
    <row r="2" spans="1:18" ht="15.75" customHeight="1">
      <c r="A2" s="21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spans="1:18" ht="42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ht="15" customHeight="1">
      <c r="A4" s="2">
        <v>1</v>
      </c>
      <c r="B4" s="2">
        <v>2020</v>
      </c>
      <c r="C4" s="2" t="s">
        <v>20</v>
      </c>
      <c r="D4" s="2" t="s">
        <v>21</v>
      </c>
      <c r="E4" s="3">
        <v>71510</v>
      </c>
      <c r="F4" s="3">
        <v>8990</v>
      </c>
      <c r="G4" s="3">
        <v>23780</v>
      </c>
      <c r="H4" s="3">
        <v>49540</v>
      </c>
      <c r="I4" s="3">
        <v>9320</v>
      </c>
      <c r="J4" s="3">
        <v>24340</v>
      </c>
      <c r="K4" s="3">
        <v>33650</v>
      </c>
      <c r="L4" s="3">
        <v>20650</v>
      </c>
      <c r="M4" s="3">
        <v>585.25</v>
      </c>
      <c r="N4" s="3">
        <v>-1550</v>
      </c>
      <c r="O4" s="3">
        <v>-25.98</v>
      </c>
      <c r="P4" s="3">
        <v>1520</v>
      </c>
      <c r="Q4" s="3">
        <v>6500</v>
      </c>
      <c r="R4" s="4" t="s">
        <v>22</v>
      </c>
    </row>
    <row r="5" spans="1:18" ht="15" customHeight="1">
      <c r="A5" s="2">
        <v>2</v>
      </c>
      <c r="B5" s="2">
        <v>2020</v>
      </c>
      <c r="C5" s="2" t="s">
        <v>23</v>
      </c>
      <c r="D5" s="2" t="s">
        <v>21</v>
      </c>
      <c r="E5" s="3">
        <v>69650</v>
      </c>
      <c r="F5" s="3">
        <v>7730</v>
      </c>
      <c r="G5" s="3">
        <v>21440</v>
      </c>
      <c r="H5" s="3">
        <v>49010</v>
      </c>
      <c r="I5" s="3">
        <v>7500</v>
      </c>
      <c r="J5" s="3">
        <v>24920</v>
      </c>
      <c r="K5" s="3">
        <v>32430</v>
      </c>
      <c r="L5" s="3">
        <v>20520</v>
      </c>
      <c r="M5" s="3">
        <v>809.1</v>
      </c>
      <c r="N5" s="3">
        <v>381.55</v>
      </c>
      <c r="O5" s="3">
        <v>-157.74</v>
      </c>
      <c r="P5" s="3">
        <v>223.81</v>
      </c>
      <c r="Q5" s="3">
        <v>6590</v>
      </c>
      <c r="R5" s="4" t="s">
        <v>24</v>
      </c>
    </row>
    <row r="6" spans="1:18" ht="15" customHeight="1">
      <c r="A6" s="2">
        <v>3</v>
      </c>
      <c r="B6" s="2">
        <v>2020</v>
      </c>
      <c r="C6" s="2" t="s">
        <v>25</v>
      </c>
      <c r="D6" s="2" t="s">
        <v>21</v>
      </c>
      <c r="E6" s="3">
        <v>68400</v>
      </c>
      <c r="F6" s="3">
        <v>5330</v>
      </c>
      <c r="G6" s="3">
        <v>18120</v>
      </c>
      <c r="H6" s="3">
        <v>50160</v>
      </c>
      <c r="I6" s="3">
        <v>5330</v>
      </c>
      <c r="J6" s="3">
        <v>26470</v>
      </c>
      <c r="K6" s="3">
        <v>31800</v>
      </c>
      <c r="L6" s="3">
        <v>20870</v>
      </c>
      <c r="M6" s="3">
        <v>1060</v>
      </c>
      <c r="N6" s="3">
        <v>535.79999999999995</v>
      </c>
      <c r="O6" s="3">
        <v>-204.31</v>
      </c>
      <c r="P6" s="3">
        <v>331.49</v>
      </c>
      <c r="Q6" s="3">
        <v>6570</v>
      </c>
      <c r="R6" s="4" t="s">
        <v>26</v>
      </c>
    </row>
    <row r="7" spans="1:18" ht="15" customHeight="1">
      <c r="A7" s="2">
        <v>4</v>
      </c>
      <c r="B7" s="2">
        <v>2020</v>
      </c>
      <c r="C7" s="2" t="s">
        <v>27</v>
      </c>
      <c r="D7" s="2" t="s">
        <v>21</v>
      </c>
      <c r="E7" s="3">
        <v>67740</v>
      </c>
      <c r="F7" s="3">
        <v>7570</v>
      </c>
      <c r="G7" s="3">
        <v>18860</v>
      </c>
      <c r="H7" s="3">
        <v>47160</v>
      </c>
      <c r="I7" s="3">
        <v>6240</v>
      </c>
      <c r="J7" s="3">
        <v>27390</v>
      </c>
      <c r="K7" s="3">
        <v>33630</v>
      </c>
      <c r="L7" s="3">
        <v>19140</v>
      </c>
      <c r="M7" s="3">
        <v>-1840</v>
      </c>
      <c r="N7" s="3">
        <v>-2320</v>
      </c>
      <c r="O7" s="3">
        <v>613.41999999999996</v>
      </c>
      <c r="P7" s="3">
        <v>-1700</v>
      </c>
      <c r="Q7" s="3">
        <v>6350</v>
      </c>
      <c r="R7" s="4" t="s">
        <v>28</v>
      </c>
    </row>
    <row r="8" spans="1:18" ht="15" customHeight="1">
      <c r="A8" s="2">
        <v>5</v>
      </c>
      <c r="B8" s="2">
        <v>2021</v>
      </c>
      <c r="C8" s="2" t="s">
        <v>20</v>
      </c>
      <c r="D8" s="2" t="s">
        <v>21</v>
      </c>
      <c r="E8" s="3">
        <v>65930</v>
      </c>
      <c r="F8" s="3">
        <v>5950</v>
      </c>
      <c r="G8" s="3">
        <v>19290</v>
      </c>
      <c r="H8" s="3">
        <v>47100</v>
      </c>
      <c r="I8" s="3">
        <v>7380</v>
      </c>
      <c r="J8" s="3">
        <v>24870</v>
      </c>
      <c r="K8" s="3">
        <v>32250</v>
      </c>
      <c r="L8" s="3">
        <v>19470</v>
      </c>
      <c r="M8" s="3">
        <v>703.55</v>
      </c>
      <c r="N8" s="3">
        <v>389.44</v>
      </c>
      <c r="O8" s="3">
        <v>-68.92</v>
      </c>
      <c r="P8" s="3">
        <v>320.51</v>
      </c>
      <c r="Q8" s="3">
        <v>6250</v>
      </c>
      <c r="R8" s="4" t="s">
        <v>29</v>
      </c>
    </row>
    <row r="9" spans="1:18" ht="15" customHeight="1">
      <c r="A9" s="2">
        <v>6</v>
      </c>
      <c r="B9" s="2">
        <v>2021</v>
      </c>
      <c r="C9" s="2" t="s">
        <v>23</v>
      </c>
      <c r="D9" s="2" t="s">
        <v>21</v>
      </c>
      <c r="E9" s="3">
        <v>67490</v>
      </c>
      <c r="F9" s="3">
        <v>5850</v>
      </c>
      <c r="G9" s="3">
        <v>18810</v>
      </c>
      <c r="H9" s="3">
        <v>48780</v>
      </c>
      <c r="I9" s="3">
        <v>7090</v>
      </c>
      <c r="J9" s="3">
        <v>26900</v>
      </c>
      <c r="K9" s="3">
        <v>33990</v>
      </c>
      <c r="L9" s="3">
        <v>19330</v>
      </c>
      <c r="M9" s="3">
        <v>873.92</v>
      </c>
      <c r="N9" s="3">
        <v>452.84</v>
      </c>
      <c r="O9" s="3">
        <v>-57.4</v>
      </c>
      <c r="P9" s="3">
        <v>395.44</v>
      </c>
      <c r="Q9" s="3">
        <v>6730</v>
      </c>
      <c r="R9" s="4" t="s">
        <v>30</v>
      </c>
    </row>
    <row r="10" spans="1:18" ht="15" customHeight="1">
      <c r="A10" s="2">
        <v>7</v>
      </c>
      <c r="B10" s="2">
        <v>2021</v>
      </c>
      <c r="C10" s="2" t="s">
        <v>25</v>
      </c>
      <c r="D10" s="2" t="s">
        <v>21</v>
      </c>
      <c r="E10" s="3">
        <v>68590</v>
      </c>
      <c r="F10" s="3">
        <v>6610</v>
      </c>
      <c r="G10" s="3">
        <v>18810</v>
      </c>
      <c r="H10" s="3">
        <v>49100</v>
      </c>
      <c r="I10" s="3">
        <v>6870</v>
      </c>
      <c r="J10" s="3">
        <v>27340</v>
      </c>
      <c r="K10" s="3">
        <v>34210</v>
      </c>
      <c r="L10" s="3">
        <v>19820</v>
      </c>
      <c r="M10" s="3">
        <v>921.67</v>
      </c>
      <c r="N10" s="3">
        <v>413.81</v>
      </c>
      <c r="O10" s="3">
        <v>-113.37</v>
      </c>
      <c r="P10" s="3">
        <v>300.44</v>
      </c>
      <c r="Q10" s="3">
        <v>6830</v>
      </c>
      <c r="R10" s="4" t="s">
        <v>31</v>
      </c>
    </row>
    <row r="11" spans="1:18" ht="15" customHeight="1">
      <c r="A11" s="2">
        <v>8</v>
      </c>
      <c r="B11" s="2">
        <v>2021</v>
      </c>
      <c r="C11" s="2" t="s">
        <v>27</v>
      </c>
      <c r="D11" s="2" t="s">
        <v>21</v>
      </c>
      <c r="E11" s="3">
        <v>72750</v>
      </c>
      <c r="F11" s="3">
        <v>7730</v>
      </c>
      <c r="G11" s="3">
        <v>20950</v>
      </c>
      <c r="H11" s="3">
        <v>51910</v>
      </c>
      <c r="I11" s="3">
        <v>6280</v>
      </c>
      <c r="J11" s="3">
        <v>27740</v>
      </c>
      <c r="K11" s="3">
        <v>36020</v>
      </c>
      <c r="L11" s="3">
        <v>20090</v>
      </c>
      <c r="M11" s="3">
        <v>831.46</v>
      </c>
      <c r="N11" s="3">
        <v>451.41</v>
      </c>
      <c r="O11" s="3">
        <v>-180.01</v>
      </c>
      <c r="P11" s="3">
        <v>271.39999999999998</v>
      </c>
      <c r="Q11" s="3">
        <v>6950</v>
      </c>
      <c r="R11" s="4" t="s">
        <v>32</v>
      </c>
    </row>
    <row r="12" spans="1:18" ht="15" customHeight="1">
      <c r="A12" s="2">
        <v>9</v>
      </c>
      <c r="B12" s="2">
        <v>2022</v>
      </c>
      <c r="C12" s="2" t="s">
        <v>20</v>
      </c>
      <c r="D12" s="2" t="s">
        <v>21</v>
      </c>
      <c r="E12" s="3">
        <v>71840</v>
      </c>
      <c r="F12" s="3">
        <v>6200</v>
      </c>
      <c r="G12" s="3">
        <v>21430</v>
      </c>
      <c r="H12" s="3">
        <v>52610</v>
      </c>
      <c r="I12" s="3">
        <v>7890</v>
      </c>
      <c r="J12" s="3">
        <v>27900</v>
      </c>
      <c r="K12" s="3">
        <v>35790</v>
      </c>
      <c r="L12" s="3">
        <v>20240</v>
      </c>
      <c r="M12" s="3">
        <v>613.04</v>
      </c>
      <c r="N12" s="3">
        <v>172.22</v>
      </c>
      <c r="O12" s="3">
        <v>-33.119999999999997</v>
      </c>
      <c r="P12" s="3">
        <v>139.09</v>
      </c>
      <c r="Q12" s="3">
        <v>6740</v>
      </c>
      <c r="R12" s="4" t="s">
        <v>33</v>
      </c>
    </row>
    <row r="13" spans="1:18" ht="15" customHeight="1">
      <c r="A13" s="2">
        <v>10</v>
      </c>
      <c r="B13" s="2">
        <v>2022</v>
      </c>
      <c r="C13" s="2" t="s">
        <v>23</v>
      </c>
      <c r="D13" s="2" t="s">
        <v>21</v>
      </c>
      <c r="E13" s="3">
        <v>76420</v>
      </c>
      <c r="F13" s="3">
        <v>5920</v>
      </c>
      <c r="G13" s="3">
        <v>22700</v>
      </c>
      <c r="H13" s="3">
        <v>54010</v>
      </c>
      <c r="I13" s="3">
        <v>8700</v>
      </c>
      <c r="J13" s="3">
        <v>31160</v>
      </c>
      <c r="K13" s="3">
        <v>39870</v>
      </c>
      <c r="L13" s="3">
        <v>20340</v>
      </c>
      <c r="M13" s="3">
        <v>1020</v>
      </c>
      <c r="N13" s="3">
        <v>555.87</v>
      </c>
      <c r="O13" s="3">
        <v>-77.95</v>
      </c>
      <c r="P13" s="3">
        <v>475.82</v>
      </c>
      <c r="Q13" s="3">
        <v>7330</v>
      </c>
      <c r="R13" s="4" t="s">
        <v>34</v>
      </c>
    </row>
    <row r="14" spans="1:18" ht="15" customHeight="1">
      <c r="A14" s="2">
        <v>11</v>
      </c>
      <c r="B14" s="2">
        <v>2022</v>
      </c>
      <c r="C14" s="2" t="s">
        <v>25</v>
      </c>
      <c r="D14" s="2" t="s">
        <v>21</v>
      </c>
      <c r="E14" s="3">
        <v>81680</v>
      </c>
      <c r="F14" s="3">
        <v>8960</v>
      </c>
      <c r="G14" s="3">
        <v>25060</v>
      </c>
      <c r="H14" s="3">
        <v>56180</v>
      </c>
      <c r="I14" s="3">
        <v>10520</v>
      </c>
      <c r="J14" s="3">
        <v>33750</v>
      </c>
      <c r="K14" s="3">
        <v>44270</v>
      </c>
      <c r="L14" s="3">
        <v>20710</v>
      </c>
      <c r="M14" s="3">
        <v>3.04</v>
      </c>
      <c r="N14" s="3">
        <v>2.2200000000000002</v>
      </c>
      <c r="O14" s="3">
        <v>3.12</v>
      </c>
      <c r="P14" s="3">
        <v>9.09</v>
      </c>
      <c r="Q14" s="3">
        <v>6740</v>
      </c>
      <c r="R14" s="4" t="s">
        <v>35</v>
      </c>
    </row>
    <row r="15" spans="1:18" ht="15" customHeight="1">
      <c r="A15" s="2">
        <v>12</v>
      </c>
      <c r="B15" s="2">
        <v>2022</v>
      </c>
      <c r="C15" s="2" t="s">
        <v>27</v>
      </c>
      <c r="D15" s="2" t="s">
        <v>21</v>
      </c>
      <c r="E15" s="3">
        <v>87280</v>
      </c>
      <c r="F15" s="3">
        <v>10410</v>
      </c>
      <c r="G15" s="3">
        <v>26350</v>
      </c>
      <c r="H15" s="3">
        <v>60470</v>
      </c>
      <c r="I15" s="3">
        <v>10920</v>
      </c>
      <c r="J15" s="3">
        <v>33040</v>
      </c>
      <c r="K15" s="3">
        <v>43960</v>
      </c>
      <c r="L15" s="3">
        <v>25770</v>
      </c>
      <c r="M15" s="3">
        <v>1020</v>
      </c>
      <c r="N15" s="3">
        <v>555.87</v>
      </c>
      <c r="O15" s="3">
        <v>-77.95</v>
      </c>
      <c r="P15" s="3">
        <v>475.82</v>
      </c>
      <c r="Q15" s="3">
        <v>7350</v>
      </c>
      <c r="R15" s="4" t="s">
        <v>36</v>
      </c>
    </row>
    <row r="16" spans="1:18" ht="15" customHeight="1">
      <c r="A16" s="2">
        <v>13</v>
      </c>
      <c r="B16" s="2">
        <v>2023</v>
      </c>
      <c r="C16" s="2" t="s">
        <v>20</v>
      </c>
      <c r="D16" s="2" t="s">
        <v>21</v>
      </c>
      <c r="E16" s="3">
        <v>83730</v>
      </c>
      <c r="F16" s="3">
        <v>6880</v>
      </c>
      <c r="G16" s="3">
        <v>24940</v>
      </c>
      <c r="H16" s="3">
        <v>60170</v>
      </c>
      <c r="I16" s="3">
        <v>10090</v>
      </c>
      <c r="J16" s="3">
        <v>30710</v>
      </c>
      <c r="K16" s="3">
        <v>40810</v>
      </c>
      <c r="L16" s="3">
        <v>25970</v>
      </c>
      <c r="M16" s="3">
        <v>1060</v>
      </c>
      <c r="N16" s="3">
        <v>465.35</v>
      </c>
      <c r="O16" s="3">
        <v>-93.59</v>
      </c>
      <c r="P16" s="3">
        <v>366.29</v>
      </c>
      <c r="Q16" s="3">
        <v>7520</v>
      </c>
      <c r="R16" s="4" t="s">
        <v>37</v>
      </c>
    </row>
    <row r="17" spans="1:18" ht="15" customHeight="1">
      <c r="A17" s="2">
        <v>14</v>
      </c>
      <c r="B17" s="2">
        <v>2023</v>
      </c>
      <c r="C17" s="2" t="s">
        <v>23</v>
      </c>
      <c r="D17" s="2" t="s">
        <v>21</v>
      </c>
      <c r="E17" s="3">
        <v>83690</v>
      </c>
      <c r="F17" s="3">
        <v>5770</v>
      </c>
      <c r="G17" s="3">
        <v>22970</v>
      </c>
      <c r="H17" s="3">
        <v>61100</v>
      </c>
      <c r="I17" s="3">
        <v>9650</v>
      </c>
      <c r="J17" s="3">
        <v>32820</v>
      </c>
      <c r="K17" s="3">
        <v>42470</v>
      </c>
      <c r="L17" s="3">
        <v>25880</v>
      </c>
      <c r="M17" s="3">
        <v>961.93</v>
      </c>
      <c r="N17" s="3">
        <v>159.6</v>
      </c>
      <c r="O17" s="3">
        <v>-27.18</v>
      </c>
      <c r="P17" s="3">
        <v>128.24</v>
      </c>
      <c r="Q17" s="3">
        <v>7550</v>
      </c>
      <c r="R17" s="4" t="s">
        <v>38</v>
      </c>
    </row>
    <row r="18" spans="1:18" ht="15" customHeight="1">
      <c r="A18" s="2">
        <v>15</v>
      </c>
      <c r="B18" s="2">
        <v>2023</v>
      </c>
      <c r="C18" s="2" t="s">
        <v>25</v>
      </c>
      <c r="D18" s="2" t="s">
        <v>21</v>
      </c>
      <c r="E18" s="3">
        <v>86100</v>
      </c>
      <c r="F18" s="3">
        <v>5450</v>
      </c>
      <c r="G18" s="3">
        <v>21740</v>
      </c>
      <c r="H18" s="3">
        <v>63410</v>
      </c>
      <c r="I18" s="3">
        <v>8050</v>
      </c>
      <c r="J18" s="3">
        <v>36090</v>
      </c>
      <c r="K18" s="3">
        <v>44140</v>
      </c>
      <c r="L18" s="3">
        <v>26250</v>
      </c>
      <c r="M18" s="3">
        <v>841.37</v>
      </c>
      <c r="N18" s="3">
        <v>237.78</v>
      </c>
      <c r="O18" s="3">
        <v>-33.6</v>
      </c>
      <c r="P18" s="3">
        <v>200.89</v>
      </c>
      <c r="Q18" s="3">
        <v>7550</v>
      </c>
      <c r="R18" s="4" t="s">
        <v>39</v>
      </c>
    </row>
    <row r="19" spans="1:18" ht="15" customHeight="1">
      <c r="A19" s="2">
        <v>16</v>
      </c>
      <c r="B19" s="2">
        <v>2023</v>
      </c>
      <c r="C19" s="2" t="s">
        <v>27</v>
      </c>
      <c r="D19" s="2" t="s">
        <v>21</v>
      </c>
      <c r="E19" s="3">
        <v>87690</v>
      </c>
      <c r="F19" s="3">
        <v>7170</v>
      </c>
      <c r="G19" s="3">
        <v>20170</v>
      </c>
      <c r="H19" s="3">
        <v>63900</v>
      </c>
      <c r="I19" s="3">
        <v>6880</v>
      </c>
      <c r="J19" s="3">
        <v>39040</v>
      </c>
      <c r="K19" s="3">
        <v>45950</v>
      </c>
      <c r="L19" s="3">
        <v>26470</v>
      </c>
      <c r="M19" s="3">
        <v>1240</v>
      </c>
      <c r="N19" s="3">
        <v>565.55999999999995</v>
      </c>
      <c r="O19" s="3">
        <v>-112.21</v>
      </c>
      <c r="P19" s="3">
        <v>449.79</v>
      </c>
      <c r="Q19" s="3">
        <v>8220</v>
      </c>
      <c r="R19" s="4" t="s">
        <v>40</v>
      </c>
    </row>
    <row r="20" spans="1:18" ht="15" customHeight="1">
      <c r="A20" s="2">
        <v>17</v>
      </c>
      <c r="B20" s="2">
        <v>2024</v>
      </c>
      <c r="C20" s="2" t="s">
        <v>20</v>
      </c>
      <c r="D20" s="2" t="s">
        <v>21</v>
      </c>
      <c r="E20" s="3">
        <v>97980</v>
      </c>
      <c r="F20" s="3">
        <v>6990</v>
      </c>
      <c r="G20" s="3">
        <v>20250</v>
      </c>
      <c r="H20" s="3">
        <v>64470</v>
      </c>
      <c r="I20" s="3">
        <v>7400</v>
      </c>
      <c r="J20" s="3">
        <v>38650</v>
      </c>
      <c r="K20" s="3">
        <v>46050</v>
      </c>
      <c r="L20" s="3">
        <v>27050</v>
      </c>
      <c r="M20" s="3">
        <v>1150</v>
      </c>
      <c r="N20" s="3">
        <v>447.22</v>
      </c>
      <c r="O20" s="3">
        <v>-86.17</v>
      </c>
      <c r="P20" s="3">
        <v>359.92</v>
      </c>
      <c r="Q20" s="3">
        <v>8100</v>
      </c>
      <c r="R20" s="4" t="s">
        <v>41</v>
      </c>
    </row>
    <row r="21" spans="1:18" ht="15" customHeight="1">
      <c r="A21" s="2">
        <v>18</v>
      </c>
      <c r="B21" s="2">
        <v>2024</v>
      </c>
      <c r="C21" s="2" t="s">
        <v>23</v>
      </c>
      <c r="D21" s="2" t="s">
        <v>21</v>
      </c>
      <c r="E21" s="3">
        <v>86590</v>
      </c>
      <c r="F21" s="3">
        <v>6320</v>
      </c>
      <c r="G21" s="3">
        <v>20610</v>
      </c>
      <c r="H21" s="3">
        <v>64040</v>
      </c>
      <c r="I21" s="3">
        <v>8310</v>
      </c>
      <c r="J21" s="3">
        <v>37140</v>
      </c>
      <c r="K21" s="3">
        <v>45450</v>
      </c>
      <c r="L21" s="3">
        <v>26900</v>
      </c>
      <c r="M21" s="3">
        <v>1150</v>
      </c>
      <c r="N21" s="3">
        <v>450.42</v>
      </c>
      <c r="O21" s="3">
        <v>-188.09</v>
      </c>
      <c r="P21" s="3">
        <v>256.98</v>
      </c>
      <c r="Q21" s="3">
        <v>8450</v>
      </c>
      <c r="R21" s="4" t="s">
        <v>42</v>
      </c>
    </row>
    <row r="22" spans="1:18" ht="15" customHeight="1">
      <c r="A22" s="2">
        <v>19</v>
      </c>
      <c r="B22" s="2">
        <v>2024</v>
      </c>
      <c r="C22" s="2" t="s">
        <v>25</v>
      </c>
      <c r="D22" s="2" t="s">
        <v>21</v>
      </c>
      <c r="E22" s="3">
        <v>85170</v>
      </c>
      <c r="F22" s="3">
        <v>6120</v>
      </c>
      <c r="G22" s="3">
        <v>21020</v>
      </c>
      <c r="H22" s="3">
        <v>62400</v>
      </c>
      <c r="I22" s="3">
        <v>9610</v>
      </c>
      <c r="J22" s="3">
        <v>37030</v>
      </c>
      <c r="K22" s="3">
        <v>46440</v>
      </c>
      <c r="L22" s="3">
        <v>25700</v>
      </c>
      <c r="M22" s="3">
        <v>1390</v>
      </c>
      <c r="N22" s="3">
        <v>677.2</v>
      </c>
      <c r="O22" s="3">
        <v>-129.77000000000001</v>
      </c>
      <c r="P22" s="3">
        <v>541.07000000000005</v>
      </c>
      <c r="Q22" s="3">
        <v>8440</v>
      </c>
      <c r="R22" s="4" t="s">
        <v>43</v>
      </c>
    </row>
    <row r="23" spans="1:18" ht="15" customHeight="1">
      <c r="A23" s="2">
        <v>20</v>
      </c>
      <c r="B23" s="2">
        <v>2024</v>
      </c>
      <c r="C23" s="2" t="s">
        <v>27</v>
      </c>
      <c r="D23" s="2" t="s">
        <v>21</v>
      </c>
      <c r="E23" s="3">
        <v>86180</v>
      </c>
      <c r="F23" s="3">
        <v>8440</v>
      </c>
      <c r="G23" s="3">
        <v>23800</v>
      </c>
      <c r="H23" s="3">
        <v>61030</v>
      </c>
      <c r="I23" s="3">
        <v>9090</v>
      </c>
      <c r="J23" s="3">
        <v>37000</v>
      </c>
      <c r="K23" s="3">
        <v>46090</v>
      </c>
      <c r="L23" s="3">
        <v>26220</v>
      </c>
      <c r="M23" s="3">
        <v>1390</v>
      </c>
      <c r="N23" s="3">
        <v>661.14</v>
      </c>
      <c r="O23" s="3">
        <v>-171.4</v>
      </c>
      <c r="P23" s="3">
        <v>485.85</v>
      </c>
      <c r="Q23" s="3">
        <v>8610</v>
      </c>
      <c r="R23" s="4" t="s">
        <v>44</v>
      </c>
    </row>
    <row r="24" spans="1:18" ht="15" customHeight="1">
      <c r="A24" s="2">
        <v>21</v>
      </c>
      <c r="B24" s="2">
        <v>2025</v>
      </c>
      <c r="C24" s="2" t="s">
        <v>20</v>
      </c>
      <c r="D24" s="5" t="s">
        <v>45</v>
      </c>
      <c r="E24" s="3">
        <v>84840</v>
      </c>
      <c r="F24" s="3">
        <v>8560</v>
      </c>
      <c r="G24" s="3">
        <v>28820</v>
      </c>
      <c r="H24" s="3">
        <v>59580</v>
      </c>
      <c r="I24" s="3">
        <v>11290</v>
      </c>
      <c r="J24" s="3">
        <v>33550</v>
      </c>
      <c r="K24" s="3">
        <v>44830</v>
      </c>
      <c r="L24" s="3">
        <v>25490</v>
      </c>
      <c r="M24" s="3">
        <v>1270</v>
      </c>
      <c r="N24" s="3">
        <v>415.6</v>
      </c>
      <c r="O24" s="3">
        <v>-117.83</v>
      </c>
      <c r="P24" s="3">
        <v>291.77</v>
      </c>
      <c r="Q24" s="3">
        <v>8310</v>
      </c>
      <c r="R24" s="4" t="s">
        <v>46</v>
      </c>
    </row>
    <row r="25" spans="1:18" ht="15" customHeight="1">
      <c r="A25" s="2">
        <v>22</v>
      </c>
      <c r="B25" s="2">
        <v>2025</v>
      </c>
      <c r="C25" s="2" t="s">
        <v>23</v>
      </c>
      <c r="D25" s="5" t="s">
        <v>45</v>
      </c>
      <c r="E25" s="3">
        <v>113430</v>
      </c>
      <c r="F25" s="3">
        <v>11350</v>
      </c>
      <c r="G25" s="3">
        <v>26790</v>
      </c>
      <c r="H25" s="3">
        <v>70100</v>
      </c>
      <c r="I25" s="3">
        <v>14010</v>
      </c>
      <c r="J25" s="3">
        <v>49350</v>
      </c>
      <c r="K25" s="3">
        <v>63360</v>
      </c>
      <c r="L25" s="3">
        <v>33380</v>
      </c>
      <c r="M25" s="3">
        <v>1530</v>
      </c>
      <c r="N25" s="3">
        <v>673.29</v>
      </c>
      <c r="O25" s="3">
        <v>-160.59</v>
      </c>
      <c r="P25" s="3">
        <v>502.32</v>
      </c>
      <c r="Q25" s="3">
        <v>9030</v>
      </c>
      <c r="R25" s="4" t="s">
        <v>47</v>
      </c>
    </row>
    <row r="26" spans="1:18" ht="15" customHeight="1">
      <c r="A26" s="2">
        <v>23</v>
      </c>
      <c r="B26" s="2">
        <v>2025</v>
      </c>
      <c r="C26" s="2" t="s">
        <v>25</v>
      </c>
      <c r="D26" s="5" t="s">
        <v>45</v>
      </c>
      <c r="E26" s="3">
        <v>109820</v>
      </c>
      <c r="F26" s="3">
        <v>11660</v>
      </c>
      <c r="G26" s="3">
        <v>31840</v>
      </c>
      <c r="H26" s="3">
        <v>65940</v>
      </c>
      <c r="I26" s="3">
        <v>11850</v>
      </c>
      <c r="J26" s="3">
        <v>49150</v>
      </c>
      <c r="K26" s="3">
        <v>61000</v>
      </c>
      <c r="L26" s="3">
        <v>32000</v>
      </c>
      <c r="M26" s="3">
        <v>1350</v>
      </c>
      <c r="N26" s="3">
        <v>523.15</v>
      </c>
      <c r="O26" s="3">
        <v>-134.91999999999999</v>
      </c>
      <c r="P26" s="3">
        <v>384.56</v>
      </c>
      <c r="Q26" s="3">
        <v>8600</v>
      </c>
      <c r="R26" s="4" t="s">
        <v>48</v>
      </c>
    </row>
    <row r="27" spans="1:18" ht="15" customHeight="1">
      <c r="A27" s="2">
        <v>24</v>
      </c>
      <c r="B27" s="2">
        <v>2025</v>
      </c>
      <c r="C27" s="2" t="s">
        <v>27</v>
      </c>
      <c r="D27" s="5" t="s">
        <v>45</v>
      </c>
      <c r="E27" s="3">
        <v>115220</v>
      </c>
      <c r="F27" s="3">
        <v>15020</v>
      </c>
      <c r="G27" s="3">
        <v>30450</v>
      </c>
      <c r="H27" s="3">
        <v>66980</v>
      </c>
      <c r="I27" s="3">
        <v>11220</v>
      </c>
      <c r="J27" s="3">
        <v>51610</v>
      </c>
      <c r="K27" s="3">
        <v>62830</v>
      </c>
      <c r="L27" s="3">
        <v>30010</v>
      </c>
      <c r="M27" s="3">
        <v>-55.15</v>
      </c>
      <c r="N27" s="3">
        <v>-1860</v>
      </c>
      <c r="O27" s="3">
        <v>258.27999999999997</v>
      </c>
      <c r="P27" s="3">
        <v>-1610</v>
      </c>
      <c r="Q27" s="3">
        <v>10490</v>
      </c>
      <c r="R27" s="4" t="s">
        <v>49</v>
      </c>
    </row>
    <row r="28" spans="1:18" ht="15.75" customHeight="1"/>
    <row r="29" spans="1:18" ht="15.75" customHeight="1"/>
    <row r="30" spans="1:18" ht="16.5" customHeight="1">
      <c r="A30" s="18" t="s">
        <v>50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6"/>
      <c r="R30" s="6"/>
    </row>
    <row r="31" spans="1:18" s="31" customFormat="1" ht="71.25" customHeight="1">
      <c r="A31" s="1" t="s">
        <v>2</v>
      </c>
      <c r="B31" s="1" t="s">
        <v>3</v>
      </c>
      <c r="C31" s="1" t="s">
        <v>4</v>
      </c>
      <c r="D31" s="1" t="s">
        <v>5</v>
      </c>
      <c r="E31" s="1" t="s">
        <v>51</v>
      </c>
      <c r="F31" s="1" t="s">
        <v>52</v>
      </c>
      <c r="G31" s="1" t="s">
        <v>53</v>
      </c>
      <c r="H31" s="1" t="s">
        <v>54</v>
      </c>
      <c r="I31" s="1" t="s">
        <v>55</v>
      </c>
      <c r="J31" s="1" t="s">
        <v>56</v>
      </c>
      <c r="K31" s="1" t="s">
        <v>57</v>
      </c>
      <c r="L31" s="1" t="s">
        <v>58</v>
      </c>
      <c r="M31" s="1" t="s">
        <v>59</v>
      </c>
      <c r="N31" s="1" t="s">
        <v>60</v>
      </c>
      <c r="O31" s="1" t="s">
        <v>61</v>
      </c>
      <c r="P31" s="1" t="s">
        <v>62</v>
      </c>
    </row>
    <row r="32" spans="1:18" ht="15.75" customHeight="1">
      <c r="A32" s="2">
        <v>1</v>
      </c>
      <c r="B32" s="2">
        <v>2020</v>
      </c>
      <c r="C32" s="2" t="s">
        <v>20</v>
      </c>
      <c r="D32" s="2" t="s">
        <v>21</v>
      </c>
      <c r="E32" s="7">
        <f t="shared" ref="E32:E55" si="0">I4+J4</f>
        <v>33660</v>
      </c>
      <c r="F32" s="7">
        <f t="shared" ref="F32:F55" si="1">L4+E32</f>
        <v>54310</v>
      </c>
      <c r="G32" s="7">
        <f t="shared" ref="G32:G55" si="2">(ABS(O4)/ABS(N4))*100</f>
        <v>1.6761290322580644</v>
      </c>
      <c r="H32" s="7">
        <f t="shared" ref="H32:H55" si="3">M4*(1-G32/100)</f>
        <v>575.44045483870968</v>
      </c>
      <c r="I32" s="7">
        <f t="shared" ref="I32:L32" si="4">E4</f>
        <v>71510</v>
      </c>
      <c r="J32" s="7">
        <f t="shared" si="4"/>
        <v>8990</v>
      </c>
      <c r="K32" s="7">
        <f t="shared" si="4"/>
        <v>23780</v>
      </c>
      <c r="L32" s="7">
        <f t="shared" si="4"/>
        <v>49540</v>
      </c>
      <c r="M32" s="7">
        <f t="shared" ref="M32:N32" si="5">K4</f>
        <v>33650</v>
      </c>
      <c r="N32" s="7">
        <f t="shared" si="5"/>
        <v>20650</v>
      </c>
      <c r="O32" s="7">
        <f t="shared" ref="O32:P32" si="6">P4</f>
        <v>1520</v>
      </c>
      <c r="P32" s="7">
        <f t="shared" si="6"/>
        <v>6500</v>
      </c>
    </row>
    <row r="33" spans="1:16" ht="15.75" customHeight="1">
      <c r="A33" s="2">
        <v>2</v>
      </c>
      <c r="B33" s="2">
        <v>2020</v>
      </c>
      <c r="C33" s="2" t="s">
        <v>23</v>
      </c>
      <c r="D33" s="2" t="s">
        <v>21</v>
      </c>
      <c r="E33" s="7">
        <f t="shared" si="0"/>
        <v>32420</v>
      </c>
      <c r="F33" s="7">
        <f t="shared" si="1"/>
        <v>52940</v>
      </c>
      <c r="G33" s="7">
        <f t="shared" si="2"/>
        <v>41.341894902371905</v>
      </c>
      <c r="H33" s="7">
        <f t="shared" si="3"/>
        <v>474.60272834490894</v>
      </c>
      <c r="I33" s="7">
        <f t="shared" ref="I33:L33" si="7">E5</f>
        <v>69650</v>
      </c>
      <c r="J33" s="7">
        <f t="shared" si="7"/>
        <v>7730</v>
      </c>
      <c r="K33" s="7">
        <f t="shared" si="7"/>
        <v>21440</v>
      </c>
      <c r="L33" s="7">
        <f t="shared" si="7"/>
        <v>49010</v>
      </c>
      <c r="M33" s="7">
        <f t="shared" ref="M33:N33" si="8">K5</f>
        <v>32430</v>
      </c>
      <c r="N33" s="7">
        <f t="shared" si="8"/>
        <v>20520</v>
      </c>
      <c r="O33" s="7">
        <f t="shared" ref="O33:P33" si="9">P5</f>
        <v>223.81</v>
      </c>
      <c r="P33" s="7">
        <f t="shared" si="9"/>
        <v>6590</v>
      </c>
    </row>
    <row r="34" spans="1:16" ht="15.75" customHeight="1">
      <c r="A34" s="2">
        <v>3</v>
      </c>
      <c r="B34" s="2">
        <v>2020</v>
      </c>
      <c r="C34" s="2" t="s">
        <v>25</v>
      </c>
      <c r="D34" s="2" t="s">
        <v>21</v>
      </c>
      <c r="E34" s="7">
        <f t="shared" si="0"/>
        <v>31800</v>
      </c>
      <c r="F34" s="7">
        <f t="shared" si="1"/>
        <v>52670</v>
      </c>
      <c r="G34" s="7">
        <f t="shared" si="2"/>
        <v>38.131765584173202</v>
      </c>
      <c r="H34" s="7">
        <f t="shared" si="3"/>
        <v>655.80328480776416</v>
      </c>
      <c r="I34" s="7">
        <f t="shared" ref="I34:L34" si="10">E6</f>
        <v>68400</v>
      </c>
      <c r="J34" s="7">
        <f t="shared" si="10"/>
        <v>5330</v>
      </c>
      <c r="K34" s="7">
        <f t="shared" si="10"/>
        <v>18120</v>
      </c>
      <c r="L34" s="7">
        <f t="shared" si="10"/>
        <v>50160</v>
      </c>
      <c r="M34" s="7">
        <f t="shared" ref="M34:N34" si="11">K6</f>
        <v>31800</v>
      </c>
      <c r="N34" s="7">
        <f t="shared" si="11"/>
        <v>20870</v>
      </c>
      <c r="O34" s="7">
        <f t="shared" ref="O34:P34" si="12">P6</f>
        <v>331.49</v>
      </c>
      <c r="P34" s="7">
        <f t="shared" si="12"/>
        <v>6570</v>
      </c>
    </row>
    <row r="35" spans="1:16" ht="15.75" customHeight="1">
      <c r="A35" s="2">
        <v>4</v>
      </c>
      <c r="B35" s="2">
        <v>2020</v>
      </c>
      <c r="C35" s="2" t="s">
        <v>27</v>
      </c>
      <c r="D35" s="2" t="s">
        <v>21</v>
      </c>
      <c r="E35" s="7">
        <f t="shared" si="0"/>
        <v>33630</v>
      </c>
      <c r="F35" s="7">
        <f t="shared" si="1"/>
        <v>52770</v>
      </c>
      <c r="G35" s="7">
        <f t="shared" si="2"/>
        <v>26.440517241379307</v>
      </c>
      <c r="H35" s="7">
        <f t="shared" si="3"/>
        <v>-1353.4944827586207</v>
      </c>
      <c r="I35" s="7">
        <f t="shared" ref="I35:L35" si="13">E7</f>
        <v>67740</v>
      </c>
      <c r="J35" s="7">
        <f t="shared" si="13"/>
        <v>7570</v>
      </c>
      <c r="K35" s="7">
        <f t="shared" si="13"/>
        <v>18860</v>
      </c>
      <c r="L35" s="7">
        <f t="shared" si="13"/>
        <v>47160</v>
      </c>
      <c r="M35" s="7">
        <f t="shared" ref="M35:N35" si="14">K7</f>
        <v>33630</v>
      </c>
      <c r="N35" s="7">
        <f t="shared" si="14"/>
        <v>19140</v>
      </c>
      <c r="O35" s="7">
        <f t="shared" ref="O35:P35" si="15">P7</f>
        <v>-1700</v>
      </c>
      <c r="P35" s="7">
        <f t="shared" si="15"/>
        <v>6350</v>
      </c>
    </row>
    <row r="36" spans="1:16" ht="15.75" customHeight="1">
      <c r="A36" s="2">
        <v>5</v>
      </c>
      <c r="B36" s="2">
        <v>2021</v>
      </c>
      <c r="C36" s="2" t="s">
        <v>20</v>
      </c>
      <c r="D36" s="2" t="s">
        <v>21</v>
      </c>
      <c r="E36" s="7">
        <f t="shared" si="0"/>
        <v>32250</v>
      </c>
      <c r="F36" s="7">
        <f t="shared" si="1"/>
        <v>51720</v>
      </c>
      <c r="G36" s="7">
        <f t="shared" si="2"/>
        <v>17.697206244864422</v>
      </c>
      <c r="H36" s="7">
        <f t="shared" si="3"/>
        <v>579.04130546425631</v>
      </c>
      <c r="I36" s="7">
        <f t="shared" ref="I36:L36" si="16">E8</f>
        <v>65930</v>
      </c>
      <c r="J36" s="7">
        <f t="shared" si="16"/>
        <v>5950</v>
      </c>
      <c r="K36" s="7">
        <f t="shared" si="16"/>
        <v>19290</v>
      </c>
      <c r="L36" s="7">
        <f t="shared" si="16"/>
        <v>47100</v>
      </c>
      <c r="M36" s="7">
        <f t="shared" ref="M36:N36" si="17">K8</f>
        <v>32250</v>
      </c>
      <c r="N36" s="7">
        <f t="shared" si="17"/>
        <v>19470</v>
      </c>
      <c r="O36" s="7">
        <f t="shared" ref="O36:P36" si="18">P8</f>
        <v>320.51</v>
      </c>
      <c r="P36" s="7">
        <f t="shared" si="18"/>
        <v>6250</v>
      </c>
    </row>
    <row r="37" spans="1:16" ht="15.75" customHeight="1">
      <c r="A37" s="2">
        <v>6</v>
      </c>
      <c r="B37" s="2">
        <v>2021</v>
      </c>
      <c r="C37" s="2" t="s">
        <v>23</v>
      </c>
      <c r="D37" s="2" t="s">
        <v>21</v>
      </c>
      <c r="E37" s="7">
        <f t="shared" si="0"/>
        <v>33990</v>
      </c>
      <c r="F37" s="7">
        <f t="shared" si="1"/>
        <v>53320</v>
      </c>
      <c r="G37" s="7">
        <f t="shared" si="2"/>
        <v>12.675558696228247</v>
      </c>
      <c r="H37" s="7">
        <f t="shared" si="3"/>
        <v>763.145757441922</v>
      </c>
      <c r="I37" s="7">
        <f t="shared" ref="I37:L37" si="19">E9</f>
        <v>67490</v>
      </c>
      <c r="J37" s="7">
        <f t="shared" si="19"/>
        <v>5850</v>
      </c>
      <c r="K37" s="7">
        <f t="shared" si="19"/>
        <v>18810</v>
      </c>
      <c r="L37" s="7">
        <f t="shared" si="19"/>
        <v>48780</v>
      </c>
      <c r="M37" s="7">
        <f t="shared" ref="M37:N37" si="20">K9</f>
        <v>33990</v>
      </c>
      <c r="N37" s="7">
        <f t="shared" si="20"/>
        <v>19330</v>
      </c>
      <c r="O37" s="7">
        <f t="shared" ref="O37:P37" si="21">P9</f>
        <v>395.44</v>
      </c>
      <c r="P37" s="7">
        <f t="shared" si="21"/>
        <v>6730</v>
      </c>
    </row>
    <row r="38" spans="1:16" ht="15.75" customHeight="1">
      <c r="A38" s="2">
        <v>7</v>
      </c>
      <c r="B38" s="2">
        <v>2021</v>
      </c>
      <c r="C38" s="2" t="s">
        <v>25</v>
      </c>
      <c r="D38" s="2" t="s">
        <v>21</v>
      </c>
      <c r="E38" s="7">
        <f t="shared" si="0"/>
        <v>34210</v>
      </c>
      <c r="F38" s="7">
        <f t="shared" si="1"/>
        <v>54030</v>
      </c>
      <c r="G38" s="7">
        <f t="shared" si="2"/>
        <v>27.396631304221746</v>
      </c>
      <c r="H38" s="7">
        <f t="shared" si="3"/>
        <v>669.16346825837945</v>
      </c>
      <c r="I38" s="7">
        <f t="shared" ref="I38:L38" si="22">E10</f>
        <v>68590</v>
      </c>
      <c r="J38" s="7">
        <f t="shared" si="22"/>
        <v>6610</v>
      </c>
      <c r="K38" s="7">
        <f t="shared" si="22"/>
        <v>18810</v>
      </c>
      <c r="L38" s="7">
        <f t="shared" si="22"/>
        <v>49100</v>
      </c>
      <c r="M38" s="7">
        <f t="shared" ref="M38:N38" si="23">K10</f>
        <v>34210</v>
      </c>
      <c r="N38" s="7">
        <f t="shared" si="23"/>
        <v>19820</v>
      </c>
      <c r="O38" s="7">
        <f t="shared" ref="O38:P38" si="24">P10</f>
        <v>300.44</v>
      </c>
      <c r="P38" s="7">
        <f t="shared" si="24"/>
        <v>6830</v>
      </c>
    </row>
    <row r="39" spans="1:16" ht="15.75" customHeight="1">
      <c r="A39" s="2">
        <v>8</v>
      </c>
      <c r="B39" s="2">
        <v>2021</v>
      </c>
      <c r="C39" s="2" t="s">
        <v>27</v>
      </c>
      <c r="D39" s="2" t="s">
        <v>21</v>
      </c>
      <c r="E39" s="7">
        <f t="shared" si="0"/>
        <v>34020</v>
      </c>
      <c r="F39" s="7">
        <f t="shared" si="1"/>
        <v>54110</v>
      </c>
      <c r="G39" s="7">
        <f t="shared" si="2"/>
        <v>39.877273432134864</v>
      </c>
      <c r="H39" s="7">
        <f t="shared" si="3"/>
        <v>499.89642232117149</v>
      </c>
      <c r="I39" s="7">
        <f t="shared" ref="I39:L39" si="25">E11</f>
        <v>72750</v>
      </c>
      <c r="J39" s="7">
        <f t="shared" si="25"/>
        <v>7730</v>
      </c>
      <c r="K39" s="7">
        <f t="shared" si="25"/>
        <v>20950</v>
      </c>
      <c r="L39" s="7">
        <f t="shared" si="25"/>
        <v>51910</v>
      </c>
      <c r="M39" s="7">
        <f t="shared" ref="M39:N39" si="26">K11</f>
        <v>36020</v>
      </c>
      <c r="N39" s="7">
        <f t="shared" si="26"/>
        <v>20090</v>
      </c>
      <c r="O39" s="7">
        <f t="shared" ref="O39:P39" si="27">P11</f>
        <v>271.39999999999998</v>
      </c>
      <c r="P39" s="7">
        <f t="shared" si="27"/>
        <v>6950</v>
      </c>
    </row>
    <row r="40" spans="1:16" ht="15.75" customHeight="1">
      <c r="A40" s="2">
        <v>9</v>
      </c>
      <c r="B40" s="2">
        <v>2022</v>
      </c>
      <c r="C40" s="2" t="s">
        <v>20</v>
      </c>
      <c r="D40" s="2" t="s">
        <v>21</v>
      </c>
      <c r="E40" s="7">
        <f t="shared" si="0"/>
        <v>35790</v>
      </c>
      <c r="F40" s="7">
        <f t="shared" si="1"/>
        <v>56030</v>
      </c>
      <c r="G40" s="7">
        <f t="shared" si="2"/>
        <v>19.231215886656599</v>
      </c>
      <c r="H40" s="7">
        <f t="shared" si="3"/>
        <v>495.14495412844036</v>
      </c>
      <c r="I40" s="7">
        <f t="shared" ref="I40:L40" si="28">E12</f>
        <v>71840</v>
      </c>
      <c r="J40" s="7">
        <f t="shared" si="28"/>
        <v>6200</v>
      </c>
      <c r="K40" s="7">
        <f t="shared" si="28"/>
        <v>21430</v>
      </c>
      <c r="L40" s="7">
        <f t="shared" si="28"/>
        <v>52610</v>
      </c>
      <c r="M40" s="7">
        <f t="shared" ref="M40:N40" si="29">K12</f>
        <v>35790</v>
      </c>
      <c r="N40" s="7">
        <f t="shared" si="29"/>
        <v>20240</v>
      </c>
      <c r="O40" s="7">
        <f t="shared" ref="O40:P40" si="30">P12</f>
        <v>139.09</v>
      </c>
      <c r="P40" s="7">
        <f t="shared" si="30"/>
        <v>6740</v>
      </c>
    </row>
    <row r="41" spans="1:16" ht="15.75" customHeight="1">
      <c r="A41" s="2">
        <v>10</v>
      </c>
      <c r="B41" s="2">
        <v>2022</v>
      </c>
      <c r="C41" s="2" t="s">
        <v>23</v>
      </c>
      <c r="D41" s="2" t="s">
        <v>21</v>
      </c>
      <c r="E41" s="7">
        <f t="shared" si="0"/>
        <v>39860</v>
      </c>
      <c r="F41" s="7">
        <f t="shared" si="1"/>
        <v>60200</v>
      </c>
      <c r="G41" s="7">
        <f t="shared" si="2"/>
        <v>14.023062946372352</v>
      </c>
      <c r="H41" s="7">
        <f t="shared" si="3"/>
        <v>876.964757947002</v>
      </c>
      <c r="I41" s="7">
        <f t="shared" ref="I41:L41" si="31">E13</f>
        <v>76420</v>
      </c>
      <c r="J41" s="7">
        <f t="shared" si="31"/>
        <v>5920</v>
      </c>
      <c r="K41" s="7">
        <f t="shared" si="31"/>
        <v>22700</v>
      </c>
      <c r="L41" s="7">
        <f t="shared" si="31"/>
        <v>54010</v>
      </c>
      <c r="M41" s="7">
        <f t="shared" ref="M41:N41" si="32">K13</f>
        <v>39870</v>
      </c>
      <c r="N41" s="7">
        <f t="shared" si="32"/>
        <v>20340</v>
      </c>
      <c r="O41" s="7">
        <f t="shared" ref="O41:P41" si="33">P13</f>
        <v>475.82</v>
      </c>
      <c r="P41" s="7">
        <f t="shared" si="33"/>
        <v>7330</v>
      </c>
    </row>
    <row r="42" spans="1:16" ht="15.75" customHeight="1">
      <c r="A42" s="2">
        <v>11</v>
      </c>
      <c r="B42" s="2">
        <v>2022</v>
      </c>
      <c r="C42" s="2" t="s">
        <v>25</v>
      </c>
      <c r="D42" s="2" t="s">
        <v>21</v>
      </c>
      <c r="E42" s="7">
        <f t="shared" si="0"/>
        <v>44270</v>
      </c>
      <c r="F42" s="7">
        <f t="shared" si="1"/>
        <v>64980</v>
      </c>
      <c r="G42" s="7">
        <f t="shared" si="2"/>
        <v>140.54054054054052</v>
      </c>
      <c r="H42" s="7">
        <f t="shared" si="3"/>
        <v>-1.2324324324324321</v>
      </c>
      <c r="I42" s="7">
        <f t="shared" ref="I42:L42" si="34">E14</f>
        <v>81680</v>
      </c>
      <c r="J42" s="7">
        <f t="shared" si="34"/>
        <v>8960</v>
      </c>
      <c r="K42" s="7">
        <f t="shared" si="34"/>
        <v>25060</v>
      </c>
      <c r="L42" s="7">
        <f t="shared" si="34"/>
        <v>56180</v>
      </c>
      <c r="M42" s="7">
        <f t="shared" ref="M42:N42" si="35">K14</f>
        <v>44270</v>
      </c>
      <c r="N42" s="7">
        <f t="shared" si="35"/>
        <v>20710</v>
      </c>
      <c r="O42" s="7">
        <f t="shared" ref="O42:P42" si="36">P14</f>
        <v>9.09</v>
      </c>
      <c r="P42" s="7">
        <f t="shared" si="36"/>
        <v>6740</v>
      </c>
    </row>
    <row r="43" spans="1:16" ht="15.75" customHeight="1">
      <c r="A43" s="2">
        <v>12</v>
      </c>
      <c r="B43" s="2">
        <v>2022</v>
      </c>
      <c r="C43" s="2" t="s">
        <v>27</v>
      </c>
      <c r="D43" s="2" t="s">
        <v>21</v>
      </c>
      <c r="E43" s="7">
        <f t="shared" si="0"/>
        <v>43960</v>
      </c>
      <c r="F43" s="7">
        <f t="shared" si="1"/>
        <v>69730</v>
      </c>
      <c r="G43" s="7">
        <f t="shared" si="2"/>
        <v>14.023062946372352</v>
      </c>
      <c r="H43" s="7">
        <f t="shared" si="3"/>
        <v>876.964757947002</v>
      </c>
      <c r="I43" s="7">
        <f t="shared" ref="I43:L43" si="37">E15</f>
        <v>87280</v>
      </c>
      <c r="J43" s="7">
        <f t="shared" si="37"/>
        <v>10410</v>
      </c>
      <c r="K43" s="7">
        <f t="shared" si="37"/>
        <v>26350</v>
      </c>
      <c r="L43" s="7">
        <f t="shared" si="37"/>
        <v>60470</v>
      </c>
      <c r="M43" s="7">
        <f t="shared" ref="M43:N43" si="38">K15</f>
        <v>43960</v>
      </c>
      <c r="N43" s="7">
        <f t="shared" si="38"/>
        <v>25770</v>
      </c>
      <c r="O43" s="7">
        <f t="shared" ref="O43:P43" si="39">P15</f>
        <v>475.82</v>
      </c>
      <c r="P43" s="7">
        <f t="shared" si="39"/>
        <v>7350</v>
      </c>
    </row>
    <row r="44" spans="1:16" ht="15.75" customHeight="1">
      <c r="A44" s="2">
        <v>13</v>
      </c>
      <c r="B44" s="2">
        <v>2023</v>
      </c>
      <c r="C44" s="2" t="s">
        <v>20</v>
      </c>
      <c r="D44" s="2" t="s">
        <v>21</v>
      </c>
      <c r="E44" s="7">
        <f t="shared" si="0"/>
        <v>40800</v>
      </c>
      <c r="F44" s="7">
        <f t="shared" si="1"/>
        <v>66770</v>
      </c>
      <c r="G44" s="7">
        <f t="shared" si="2"/>
        <v>20.111743848716021</v>
      </c>
      <c r="H44" s="7">
        <f t="shared" si="3"/>
        <v>846.81551520361018</v>
      </c>
      <c r="I44" s="7">
        <f t="shared" ref="I44:L44" si="40">E16</f>
        <v>83730</v>
      </c>
      <c r="J44" s="7">
        <f t="shared" si="40"/>
        <v>6880</v>
      </c>
      <c r="K44" s="7">
        <f t="shared" si="40"/>
        <v>24940</v>
      </c>
      <c r="L44" s="7">
        <f t="shared" si="40"/>
        <v>60170</v>
      </c>
      <c r="M44" s="7">
        <f t="shared" ref="M44:N44" si="41">K16</f>
        <v>40810</v>
      </c>
      <c r="N44" s="7">
        <f t="shared" si="41"/>
        <v>25970</v>
      </c>
      <c r="O44" s="7">
        <f t="shared" ref="O44:P44" si="42">P16</f>
        <v>366.29</v>
      </c>
      <c r="P44" s="7">
        <f t="shared" si="42"/>
        <v>7520</v>
      </c>
    </row>
    <row r="45" spans="1:16" ht="15.75" customHeight="1">
      <c r="A45" s="2">
        <v>14</v>
      </c>
      <c r="B45" s="2">
        <v>2023</v>
      </c>
      <c r="C45" s="2" t="s">
        <v>23</v>
      </c>
      <c r="D45" s="2" t="s">
        <v>21</v>
      </c>
      <c r="E45" s="7">
        <f t="shared" si="0"/>
        <v>42470</v>
      </c>
      <c r="F45" s="7">
        <f t="shared" si="1"/>
        <v>68350</v>
      </c>
      <c r="G45" s="7">
        <f t="shared" si="2"/>
        <v>17.030075187969924</v>
      </c>
      <c r="H45" s="7">
        <f t="shared" si="3"/>
        <v>798.11259774436087</v>
      </c>
      <c r="I45" s="7">
        <f t="shared" ref="I45:L45" si="43">E17</f>
        <v>83690</v>
      </c>
      <c r="J45" s="7">
        <f t="shared" si="43"/>
        <v>5770</v>
      </c>
      <c r="K45" s="7">
        <f t="shared" si="43"/>
        <v>22970</v>
      </c>
      <c r="L45" s="7">
        <f t="shared" si="43"/>
        <v>61100</v>
      </c>
      <c r="M45" s="7">
        <f t="shared" ref="M45:N45" si="44">K17</f>
        <v>42470</v>
      </c>
      <c r="N45" s="7">
        <f t="shared" si="44"/>
        <v>25880</v>
      </c>
      <c r="O45" s="7">
        <f t="shared" ref="O45:P45" si="45">P17</f>
        <v>128.24</v>
      </c>
      <c r="P45" s="7">
        <f t="shared" si="45"/>
        <v>7550</v>
      </c>
    </row>
    <row r="46" spans="1:16" ht="15.75" customHeight="1">
      <c r="A46" s="2">
        <v>15</v>
      </c>
      <c r="B46" s="2">
        <v>2023</v>
      </c>
      <c r="C46" s="2" t="s">
        <v>25</v>
      </c>
      <c r="D46" s="2" t="s">
        <v>21</v>
      </c>
      <c r="E46" s="7">
        <f t="shared" si="0"/>
        <v>44140</v>
      </c>
      <c r="F46" s="7">
        <f t="shared" si="1"/>
        <v>70390</v>
      </c>
      <c r="G46" s="7">
        <f t="shared" si="2"/>
        <v>14.130709058793844</v>
      </c>
      <c r="H46" s="7">
        <f t="shared" si="3"/>
        <v>722.47845319202622</v>
      </c>
      <c r="I46" s="7">
        <f t="shared" ref="I46:L46" si="46">E18</f>
        <v>86100</v>
      </c>
      <c r="J46" s="7">
        <f t="shared" si="46"/>
        <v>5450</v>
      </c>
      <c r="K46" s="7">
        <f t="shared" si="46"/>
        <v>21740</v>
      </c>
      <c r="L46" s="7">
        <f t="shared" si="46"/>
        <v>63410</v>
      </c>
      <c r="M46" s="7">
        <f t="shared" ref="M46:N46" si="47">K18</f>
        <v>44140</v>
      </c>
      <c r="N46" s="7">
        <f t="shared" si="47"/>
        <v>26250</v>
      </c>
      <c r="O46" s="7">
        <f t="shared" ref="O46:P46" si="48">P18</f>
        <v>200.89</v>
      </c>
      <c r="P46" s="7">
        <f t="shared" si="48"/>
        <v>7550</v>
      </c>
    </row>
    <row r="47" spans="1:16" ht="15.75" customHeight="1">
      <c r="A47" s="2">
        <v>16</v>
      </c>
      <c r="B47" s="2">
        <v>2023</v>
      </c>
      <c r="C47" s="2" t="s">
        <v>27</v>
      </c>
      <c r="D47" s="2" t="s">
        <v>21</v>
      </c>
      <c r="E47" s="7">
        <f t="shared" si="0"/>
        <v>45920</v>
      </c>
      <c r="F47" s="7">
        <f t="shared" si="1"/>
        <v>72390</v>
      </c>
      <c r="G47" s="7">
        <f t="shared" si="2"/>
        <v>19.840512058844332</v>
      </c>
      <c r="H47" s="7">
        <f t="shared" si="3"/>
        <v>993.97765047033033</v>
      </c>
      <c r="I47" s="7">
        <f t="shared" ref="I47:L47" si="49">E19</f>
        <v>87690</v>
      </c>
      <c r="J47" s="7">
        <f t="shared" si="49"/>
        <v>7170</v>
      </c>
      <c r="K47" s="7">
        <f t="shared" si="49"/>
        <v>20170</v>
      </c>
      <c r="L47" s="7">
        <f t="shared" si="49"/>
        <v>63900</v>
      </c>
      <c r="M47" s="7">
        <f t="shared" ref="M47:N47" si="50">K19</f>
        <v>45950</v>
      </c>
      <c r="N47" s="7">
        <f t="shared" si="50"/>
        <v>26470</v>
      </c>
      <c r="O47" s="7">
        <f t="shared" ref="O47:P47" si="51">P19</f>
        <v>449.79</v>
      </c>
      <c r="P47" s="7">
        <f t="shared" si="51"/>
        <v>8220</v>
      </c>
    </row>
    <row r="48" spans="1:16" ht="15.75" customHeight="1">
      <c r="A48" s="2">
        <v>17</v>
      </c>
      <c r="B48" s="2">
        <v>2024</v>
      </c>
      <c r="C48" s="2" t="s">
        <v>20</v>
      </c>
      <c r="D48" s="2" t="s">
        <v>21</v>
      </c>
      <c r="E48" s="7">
        <f t="shared" si="0"/>
        <v>46050</v>
      </c>
      <c r="F48" s="7">
        <f t="shared" si="1"/>
        <v>73100</v>
      </c>
      <c r="G48" s="7">
        <f t="shared" si="2"/>
        <v>19.267921828182995</v>
      </c>
      <c r="H48" s="7">
        <f t="shared" si="3"/>
        <v>928.41889897589556</v>
      </c>
      <c r="I48" s="7">
        <f t="shared" ref="I48:L48" si="52">E20</f>
        <v>97980</v>
      </c>
      <c r="J48" s="7">
        <f t="shared" si="52"/>
        <v>6990</v>
      </c>
      <c r="K48" s="7">
        <f t="shared" si="52"/>
        <v>20250</v>
      </c>
      <c r="L48" s="7">
        <f t="shared" si="52"/>
        <v>64470</v>
      </c>
      <c r="M48" s="7">
        <f t="shared" ref="M48:N48" si="53">K20</f>
        <v>46050</v>
      </c>
      <c r="N48" s="7">
        <f t="shared" si="53"/>
        <v>27050</v>
      </c>
      <c r="O48" s="7">
        <f t="shared" ref="O48:P48" si="54">P20</f>
        <v>359.92</v>
      </c>
      <c r="P48" s="7">
        <f t="shared" si="54"/>
        <v>8100</v>
      </c>
    </row>
    <row r="49" spans="1:18" ht="15.75" customHeight="1">
      <c r="A49" s="2">
        <v>18</v>
      </c>
      <c r="B49" s="2">
        <v>2024</v>
      </c>
      <c r="C49" s="2" t="s">
        <v>23</v>
      </c>
      <c r="D49" s="2" t="s">
        <v>21</v>
      </c>
      <c r="E49" s="7">
        <f t="shared" si="0"/>
        <v>45450</v>
      </c>
      <c r="F49" s="7">
        <f t="shared" si="1"/>
        <v>72350</v>
      </c>
      <c r="G49" s="7">
        <f t="shared" si="2"/>
        <v>41.758802895075711</v>
      </c>
      <c r="H49" s="7">
        <f t="shared" si="3"/>
        <v>669.77376670662932</v>
      </c>
      <c r="I49" s="7">
        <f t="shared" ref="I49:L49" si="55">E21</f>
        <v>86590</v>
      </c>
      <c r="J49" s="7">
        <f t="shared" si="55"/>
        <v>6320</v>
      </c>
      <c r="K49" s="7">
        <f t="shared" si="55"/>
        <v>20610</v>
      </c>
      <c r="L49" s="7">
        <f t="shared" si="55"/>
        <v>64040</v>
      </c>
      <c r="M49" s="7">
        <f t="shared" ref="M49:N49" si="56">K21</f>
        <v>45450</v>
      </c>
      <c r="N49" s="7">
        <f t="shared" si="56"/>
        <v>26900</v>
      </c>
      <c r="O49" s="7">
        <f t="shared" ref="O49:P49" si="57">P21</f>
        <v>256.98</v>
      </c>
      <c r="P49" s="7">
        <f t="shared" si="57"/>
        <v>8450</v>
      </c>
    </row>
    <row r="50" spans="1:18" ht="15.75" customHeight="1">
      <c r="A50" s="2">
        <v>19</v>
      </c>
      <c r="B50" s="2">
        <v>2024</v>
      </c>
      <c r="C50" s="2" t="s">
        <v>25</v>
      </c>
      <c r="D50" s="2" t="s">
        <v>21</v>
      </c>
      <c r="E50" s="7">
        <f t="shared" si="0"/>
        <v>46640</v>
      </c>
      <c r="F50" s="7">
        <f t="shared" si="1"/>
        <v>72340</v>
      </c>
      <c r="G50" s="7">
        <f t="shared" si="2"/>
        <v>19.162728883638511</v>
      </c>
      <c r="H50" s="7">
        <f t="shared" si="3"/>
        <v>1123.6380685174247</v>
      </c>
      <c r="I50" s="7">
        <f t="shared" ref="I50:L50" si="58">E22</f>
        <v>85170</v>
      </c>
      <c r="J50" s="7">
        <f t="shared" si="58"/>
        <v>6120</v>
      </c>
      <c r="K50" s="7">
        <f t="shared" si="58"/>
        <v>21020</v>
      </c>
      <c r="L50" s="7">
        <f t="shared" si="58"/>
        <v>62400</v>
      </c>
      <c r="M50" s="7">
        <f t="shared" ref="M50:N50" si="59">K22</f>
        <v>46440</v>
      </c>
      <c r="N50" s="7">
        <f t="shared" si="59"/>
        <v>25700</v>
      </c>
      <c r="O50" s="7">
        <f t="shared" ref="O50:P50" si="60">P22</f>
        <v>541.07000000000005</v>
      </c>
      <c r="P50" s="7">
        <f t="shared" si="60"/>
        <v>8440</v>
      </c>
    </row>
    <row r="51" spans="1:18" ht="15.75" customHeight="1">
      <c r="A51" s="2">
        <v>20</v>
      </c>
      <c r="B51" s="2">
        <v>2024</v>
      </c>
      <c r="C51" s="2" t="s">
        <v>27</v>
      </c>
      <c r="D51" s="2" t="s">
        <v>21</v>
      </c>
      <c r="E51" s="7">
        <f t="shared" si="0"/>
        <v>46090</v>
      </c>
      <c r="F51" s="7">
        <f t="shared" si="1"/>
        <v>72310</v>
      </c>
      <c r="G51" s="7">
        <f t="shared" si="2"/>
        <v>25.924917566627343</v>
      </c>
      <c r="H51" s="7">
        <f t="shared" si="3"/>
        <v>1029.64364582388</v>
      </c>
      <c r="I51" s="7">
        <f t="shared" ref="I51:L51" si="61">E23</f>
        <v>86180</v>
      </c>
      <c r="J51" s="7">
        <f t="shared" si="61"/>
        <v>8440</v>
      </c>
      <c r="K51" s="7">
        <f t="shared" si="61"/>
        <v>23800</v>
      </c>
      <c r="L51" s="7">
        <f t="shared" si="61"/>
        <v>61030</v>
      </c>
      <c r="M51" s="7">
        <f t="shared" ref="M51:N51" si="62">K23</f>
        <v>46090</v>
      </c>
      <c r="N51" s="7">
        <f t="shared" si="62"/>
        <v>26220</v>
      </c>
      <c r="O51" s="7">
        <f t="shared" ref="O51:P51" si="63">P23</f>
        <v>485.85</v>
      </c>
      <c r="P51" s="7">
        <f t="shared" si="63"/>
        <v>8610</v>
      </c>
    </row>
    <row r="52" spans="1:18" ht="15.75" customHeight="1">
      <c r="A52" s="2">
        <v>21</v>
      </c>
      <c r="B52" s="2">
        <v>2025</v>
      </c>
      <c r="C52" s="2" t="s">
        <v>20</v>
      </c>
      <c r="D52" s="5" t="s">
        <v>45</v>
      </c>
      <c r="E52" s="7">
        <f t="shared" si="0"/>
        <v>44840</v>
      </c>
      <c r="F52" s="7">
        <f t="shared" si="1"/>
        <v>70330</v>
      </c>
      <c r="G52" s="7">
        <f t="shared" si="2"/>
        <v>28.351780558229066</v>
      </c>
      <c r="H52" s="7">
        <f t="shared" si="3"/>
        <v>909.93238691049089</v>
      </c>
      <c r="I52" s="7">
        <f t="shared" ref="I52:L52" si="64">E24</f>
        <v>84840</v>
      </c>
      <c r="J52" s="7">
        <f t="shared" si="64"/>
        <v>8560</v>
      </c>
      <c r="K52" s="7">
        <f t="shared" si="64"/>
        <v>28820</v>
      </c>
      <c r="L52" s="7">
        <f t="shared" si="64"/>
        <v>59580</v>
      </c>
      <c r="M52" s="7">
        <f t="shared" ref="M52:N52" si="65">K24</f>
        <v>44830</v>
      </c>
      <c r="N52" s="7">
        <f t="shared" si="65"/>
        <v>25490</v>
      </c>
      <c r="O52" s="7">
        <f t="shared" ref="O52:P52" si="66">P24</f>
        <v>291.77</v>
      </c>
      <c r="P52" s="7">
        <f t="shared" si="66"/>
        <v>8310</v>
      </c>
    </row>
    <row r="53" spans="1:18" ht="15.75" customHeight="1">
      <c r="A53" s="2">
        <v>22</v>
      </c>
      <c r="B53" s="2">
        <v>2025</v>
      </c>
      <c r="C53" s="2" t="s">
        <v>23</v>
      </c>
      <c r="D53" s="5" t="s">
        <v>45</v>
      </c>
      <c r="E53" s="7">
        <f t="shared" si="0"/>
        <v>63360</v>
      </c>
      <c r="F53" s="7">
        <f t="shared" si="1"/>
        <v>96740</v>
      </c>
      <c r="G53" s="7">
        <f t="shared" si="2"/>
        <v>23.851534999777215</v>
      </c>
      <c r="H53" s="7">
        <f t="shared" si="3"/>
        <v>1165.0715145034087</v>
      </c>
      <c r="I53" s="7">
        <f t="shared" ref="I53:L53" si="67">E25</f>
        <v>113430</v>
      </c>
      <c r="J53" s="7">
        <f t="shared" si="67"/>
        <v>11350</v>
      </c>
      <c r="K53" s="7">
        <f t="shared" si="67"/>
        <v>26790</v>
      </c>
      <c r="L53" s="7">
        <f t="shared" si="67"/>
        <v>70100</v>
      </c>
      <c r="M53" s="7">
        <f t="shared" ref="M53:N53" si="68">K25</f>
        <v>63360</v>
      </c>
      <c r="N53" s="7">
        <f t="shared" si="68"/>
        <v>33380</v>
      </c>
      <c r="O53" s="7">
        <f t="shared" ref="O53:P53" si="69">P25</f>
        <v>502.32</v>
      </c>
      <c r="P53" s="7">
        <f t="shared" si="69"/>
        <v>9030</v>
      </c>
    </row>
    <row r="54" spans="1:18" ht="15.75" customHeight="1">
      <c r="A54" s="2">
        <v>23</v>
      </c>
      <c r="B54" s="2">
        <v>2025</v>
      </c>
      <c r="C54" s="2" t="s">
        <v>25</v>
      </c>
      <c r="D54" s="5" t="s">
        <v>45</v>
      </c>
      <c r="E54" s="7">
        <f t="shared" si="0"/>
        <v>61000</v>
      </c>
      <c r="F54" s="7">
        <f t="shared" si="1"/>
        <v>93000</v>
      </c>
      <c r="G54" s="7">
        <f t="shared" si="2"/>
        <v>25.789926407340154</v>
      </c>
      <c r="H54" s="7">
        <f t="shared" si="3"/>
        <v>1001.835993500908</v>
      </c>
      <c r="I54" s="7">
        <f t="shared" ref="I54:L54" si="70">E26</f>
        <v>109820</v>
      </c>
      <c r="J54" s="7">
        <f t="shared" si="70"/>
        <v>11660</v>
      </c>
      <c r="K54" s="7">
        <f t="shared" si="70"/>
        <v>31840</v>
      </c>
      <c r="L54" s="7">
        <f t="shared" si="70"/>
        <v>65940</v>
      </c>
      <c r="M54" s="7">
        <f t="shared" ref="M54:N54" si="71">K26</f>
        <v>61000</v>
      </c>
      <c r="N54" s="7">
        <f t="shared" si="71"/>
        <v>32000</v>
      </c>
      <c r="O54" s="7">
        <f t="shared" ref="O54:P54" si="72">P26</f>
        <v>384.56</v>
      </c>
      <c r="P54" s="7">
        <f t="shared" si="72"/>
        <v>8600</v>
      </c>
    </row>
    <row r="55" spans="1:18" ht="15.75" customHeight="1">
      <c r="A55" s="2">
        <v>24</v>
      </c>
      <c r="B55" s="2">
        <v>2025</v>
      </c>
      <c r="C55" s="2" t="s">
        <v>27</v>
      </c>
      <c r="D55" s="5" t="s">
        <v>45</v>
      </c>
      <c r="E55" s="7">
        <f t="shared" si="0"/>
        <v>62830</v>
      </c>
      <c r="F55" s="7">
        <f t="shared" si="1"/>
        <v>92840</v>
      </c>
      <c r="G55" s="7">
        <f t="shared" si="2"/>
        <v>13.886021505376341</v>
      </c>
      <c r="H55" s="7">
        <f t="shared" si="3"/>
        <v>-47.491859139784943</v>
      </c>
      <c r="I55" s="7">
        <f t="shared" ref="I55:L55" si="73">E27</f>
        <v>115220</v>
      </c>
      <c r="J55" s="7">
        <f t="shared" si="73"/>
        <v>15020</v>
      </c>
      <c r="K55" s="7">
        <f t="shared" si="73"/>
        <v>30450</v>
      </c>
      <c r="L55" s="7">
        <f t="shared" si="73"/>
        <v>66980</v>
      </c>
      <c r="M55" s="7">
        <f t="shared" ref="M55:N55" si="74">K27</f>
        <v>62830</v>
      </c>
      <c r="N55" s="7">
        <f t="shared" si="74"/>
        <v>30010</v>
      </c>
      <c r="O55" s="7">
        <f t="shared" ref="O55:P55" si="75">P27</f>
        <v>-1610</v>
      </c>
      <c r="P55" s="7">
        <f t="shared" si="75"/>
        <v>10490</v>
      </c>
    </row>
    <row r="56" spans="1:18" ht="15.75" customHeight="1"/>
    <row r="57" spans="1:18" ht="15.75" customHeight="1"/>
    <row r="58" spans="1:18" ht="16.5" customHeight="1">
      <c r="A58" s="22" t="s">
        <v>63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  <c r="M58" s="6"/>
      <c r="N58" s="6"/>
      <c r="O58" s="6"/>
      <c r="P58" s="6"/>
      <c r="Q58" s="6"/>
      <c r="R58" s="6"/>
    </row>
    <row r="59" spans="1:18" ht="46.5" customHeight="1">
      <c r="A59" s="8"/>
      <c r="B59" s="8"/>
      <c r="C59" s="8"/>
      <c r="D59" s="8"/>
      <c r="E59" s="8" t="s">
        <v>64</v>
      </c>
      <c r="F59" s="8" t="s">
        <v>65</v>
      </c>
      <c r="G59" s="8" t="s">
        <v>66</v>
      </c>
      <c r="H59" s="8" t="s">
        <v>67</v>
      </c>
      <c r="I59" s="8" t="s">
        <v>68</v>
      </c>
      <c r="J59" s="8" t="s">
        <v>69</v>
      </c>
      <c r="K59" s="8" t="s">
        <v>70</v>
      </c>
      <c r="L59" s="8" t="s">
        <v>71</v>
      </c>
    </row>
    <row r="60" spans="1:18" ht="15.75" customHeight="1">
      <c r="A60" s="1" t="s">
        <v>2</v>
      </c>
      <c r="B60" s="1" t="s">
        <v>3</v>
      </c>
      <c r="C60" s="1" t="s">
        <v>4</v>
      </c>
      <c r="D60" s="1" t="s">
        <v>5</v>
      </c>
      <c r="E60" s="1" t="s">
        <v>72</v>
      </c>
      <c r="F60" s="1" t="s">
        <v>73</v>
      </c>
      <c r="G60" s="1" t="s">
        <v>74</v>
      </c>
      <c r="H60" s="1" t="s">
        <v>75</v>
      </c>
      <c r="I60" s="1" t="s">
        <v>76</v>
      </c>
      <c r="J60" s="1" t="s">
        <v>77</v>
      </c>
      <c r="K60" s="1" t="s">
        <v>78</v>
      </c>
      <c r="L60" s="1" t="s">
        <v>79</v>
      </c>
    </row>
    <row r="61" spans="1:18" ht="15.75" customHeight="1">
      <c r="A61" s="2">
        <v>1</v>
      </c>
      <c r="B61" s="2">
        <v>2020</v>
      </c>
      <c r="C61" s="2" t="s">
        <v>20</v>
      </c>
      <c r="D61" s="2" t="s">
        <v>21</v>
      </c>
      <c r="E61" s="7">
        <f t="shared" ref="E61:E84" si="76">(H32/F32)*100</f>
        <v>1.0595478822292574</v>
      </c>
      <c r="F61" s="7">
        <f t="shared" ref="F61:F84" si="77">(O32/I32)*100</f>
        <v>2.1255768423996644</v>
      </c>
      <c r="G61" s="7">
        <f t="shared" ref="G61:G84" si="78">(O32/N32)*100</f>
        <v>7.3607748184019366</v>
      </c>
      <c r="H61" s="7">
        <f t="shared" ref="H61:H84" si="79">(O32/P32)*100</f>
        <v>23.384615384615383</v>
      </c>
      <c r="I61" s="7">
        <f t="shared" ref="I61:I84" si="80">(M32/N32)*100</f>
        <v>162.95399515738498</v>
      </c>
      <c r="J61" s="7">
        <f t="shared" ref="J61:J84" si="81">(M32/(M32+N32))*100</f>
        <v>61.970534069981589</v>
      </c>
      <c r="K61" s="9">
        <f t="shared" ref="K61:K84" si="82">(J32/K32)</f>
        <v>0.37804878048780488</v>
      </c>
      <c r="L61" s="9">
        <f t="shared" ref="L61:L84" si="83">(P32/L32)</f>
        <v>0.13120710536939847</v>
      </c>
    </row>
    <row r="62" spans="1:18" ht="15.75" customHeight="1">
      <c r="A62" s="2">
        <v>2</v>
      </c>
      <c r="B62" s="2">
        <v>2020</v>
      </c>
      <c r="C62" s="2" t="s">
        <v>23</v>
      </c>
      <c r="D62" s="2" t="s">
        <v>21</v>
      </c>
      <c r="E62" s="7">
        <f t="shared" si="76"/>
        <v>0.89649174224576667</v>
      </c>
      <c r="F62" s="7">
        <f t="shared" si="77"/>
        <v>0.32133524766690597</v>
      </c>
      <c r="G62" s="7">
        <f t="shared" si="78"/>
        <v>1.090692007797271</v>
      </c>
      <c r="H62" s="7">
        <f t="shared" si="79"/>
        <v>3.3962063732928676</v>
      </c>
      <c r="I62" s="7">
        <f t="shared" si="80"/>
        <v>158.04093567251462</v>
      </c>
      <c r="J62" s="7">
        <f t="shared" si="81"/>
        <v>61.246458923512748</v>
      </c>
      <c r="K62" s="9">
        <f t="shared" si="82"/>
        <v>0.36054104477611942</v>
      </c>
      <c r="L62" s="9">
        <f t="shared" si="83"/>
        <v>0.13446235462150583</v>
      </c>
    </row>
    <row r="63" spans="1:18" ht="15.75" customHeight="1">
      <c r="A63" s="2">
        <v>3</v>
      </c>
      <c r="B63" s="2">
        <v>2020</v>
      </c>
      <c r="C63" s="2" t="s">
        <v>25</v>
      </c>
      <c r="D63" s="2" t="s">
        <v>21</v>
      </c>
      <c r="E63" s="7">
        <f t="shared" si="76"/>
        <v>1.2451173055017357</v>
      </c>
      <c r="F63" s="7">
        <f t="shared" si="77"/>
        <v>0.48463450292397664</v>
      </c>
      <c r="G63" s="7">
        <f t="shared" si="78"/>
        <v>1.5883564925730713</v>
      </c>
      <c r="H63" s="7">
        <f t="shared" si="79"/>
        <v>5.0455098934550993</v>
      </c>
      <c r="I63" s="7">
        <f t="shared" si="80"/>
        <v>152.37182558696693</v>
      </c>
      <c r="J63" s="7">
        <f t="shared" si="81"/>
        <v>60.375925574330736</v>
      </c>
      <c r="K63" s="9">
        <f t="shared" si="82"/>
        <v>0.29415011037527594</v>
      </c>
      <c r="L63" s="9">
        <f t="shared" si="83"/>
        <v>0.13098086124401914</v>
      </c>
    </row>
    <row r="64" spans="1:18" ht="15.75" customHeight="1">
      <c r="A64" s="2">
        <v>4</v>
      </c>
      <c r="B64" s="2">
        <v>2020</v>
      </c>
      <c r="C64" s="2" t="s">
        <v>27</v>
      </c>
      <c r="D64" s="2" t="s">
        <v>21</v>
      </c>
      <c r="E64" s="7">
        <f t="shared" si="76"/>
        <v>-2.5648938464252811</v>
      </c>
      <c r="F64" s="7">
        <f t="shared" si="77"/>
        <v>-2.5095955122527309</v>
      </c>
      <c r="G64" s="7">
        <f t="shared" si="78"/>
        <v>-8.8819226750261233</v>
      </c>
      <c r="H64" s="7">
        <f t="shared" si="79"/>
        <v>-26.771653543307089</v>
      </c>
      <c r="I64" s="7">
        <f t="shared" si="80"/>
        <v>175.70532915360502</v>
      </c>
      <c r="J64" s="7">
        <f t="shared" si="81"/>
        <v>63.729391699829449</v>
      </c>
      <c r="K64" s="9">
        <f t="shared" si="82"/>
        <v>0.40137857900318136</v>
      </c>
      <c r="L64" s="9">
        <f t="shared" si="83"/>
        <v>0.13464800678541136</v>
      </c>
    </row>
    <row r="65" spans="1:12" ht="15.75" customHeight="1">
      <c r="A65" s="2">
        <v>5</v>
      </c>
      <c r="B65" s="2">
        <v>2021</v>
      </c>
      <c r="C65" s="2" t="s">
        <v>20</v>
      </c>
      <c r="D65" s="2" t="s">
        <v>21</v>
      </c>
      <c r="E65" s="7">
        <f t="shared" si="76"/>
        <v>1.1195694227847184</v>
      </c>
      <c r="F65" s="7">
        <f t="shared" si="77"/>
        <v>0.48613681177005913</v>
      </c>
      <c r="G65" s="7">
        <f t="shared" si="78"/>
        <v>1.6461736004108884</v>
      </c>
      <c r="H65" s="7">
        <f t="shared" si="79"/>
        <v>5.1281599999999994</v>
      </c>
      <c r="I65" s="7">
        <f t="shared" si="80"/>
        <v>165.63944530046223</v>
      </c>
      <c r="J65" s="7">
        <f t="shared" si="81"/>
        <v>62.354988399071928</v>
      </c>
      <c r="K65" s="9">
        <f t="shared" si="82"/>
        <v>0.3084499740798341</v>
      </c>
      <c r="L65" s="9">
        <f t="shared" si="83"/>
        <v>0.1326963906581741</v>
      </c>
    </row>
    <row r="66" spans="1:12" ht="15.75" customHeight="1">
      <c r="A66" s="2">
        <v>6</v>
      </c>
      <c r="B66" s="2">
        <v>2021</v>
      </c>
      <c r="C66" s="2" t="s">
        <v>23</v>
      </c>
      <c r="D66" s="2" t="s">
        <v>21</v>
      </c>
      <c r="E66" s="7">
        <f t="shared" si="76"/>
        <v>1.4312561092309115</v>
      </c>
      <c r="F66" s="7">
        <f t="shared" si="77"/>
        <v>0.58592384056897318</v>
      </c>
      <c r="G66" s="7">
        <f t="shared" si="78"/>
        <v>2.0457320227625453</v>
      </c>
      <c r="H66" s="7">
        <f t="shared" si="79"/>
        <v>5.8757800891530456</v>
      </c>
      <c r="I66" s="7">
        <f t="shared" si="80"/>
        <v>175.84066218313504</v>
      </c>
      <c r="J66" s="7">
        <f t="shared" si="81"/>
        <v>63.747186796699175</v>
      </c>
      <c r="K66" s="9">
        <f t="shared" si="82"/>
        <v>0.31100478468899523</v>
      </c>
      <c r="L66" s="9">
        <f t="shared" si="83"/>
        <v>0.13796637966379663</v>
      </c>
    </row>
    <row r="67" spans="1:12" ht="15.75" customHeight="1">
      <c r="A67" s="2">
        <v>7</v>
      </c>
      <c r="B67" s="2">
        <v>2021</v>
      </c>
      <c r="C67" s="2" t="s">
        <v>25</v>
      </c>
      <c r="D67" s="2" t="s">
        <v>21</v>
      </c>
      <c r="E67" s="7">
        <f t="shared" si="76"/>
        <v>1.2385035503579114</v>
      </c>
      <c r="F67" s="7">
        <f t="shared" si="77"/>
        <v>0.43802303542790494</v>
      </c>
      <c r="G67" s="7">
        <f t="shared" si="78"/>
        <v>1.5158425832492433</v>
      </c>
      <c r="H67" s="7">
        <f t="shared" si="79"/>
        <v>4.3988286969253299</v>
      </c>
      <c r="I67" s="7">
        <f t="shared" si="80"/>
        <v>172.6034308779011</v>
      </c>
      <c r="J67" s="7">
        <f t="shared" si="81"/>
        <v>63.316675920784746</v>
      </c>
      <c r="K67" s="9">
        <f t="shared" si="82"/>
        <v>0.35140882509303561</v>
      </c>
      <c r="L67" s="9">
        <f t="shared" si="83"/>
        <v>0.13910386965376781</v>
      </c>
    </row>
    <row r="68" spans="1:12" ht="15.75" customHeight="1">
      <c r="A68" s="2">
        <v>8</v>
      </c>
      <c r="B68" s="2">
        <v>2021</v>
      </c>
      <c r="C68" s="2" t="s">
        <v>27</v>
      </c>
      <c r="D68" s="2" t="s">
        <v>21</v>
      </c>
      <c r="E68" s="7">
        <f t="shared" si="76"/>
        <v>0.92385219427309462</v>
      </c>
      <c r="F68" s="7">
        <f t="shared" si="77"/>
        <v>0.37305841924398619</v>
      </c>
      <c r="G68" s="7">
        <f t="shared" si="78"/>
        <v>1.3509208561473369</v>
      </c>
      <c r="H68" s="7">
        <f t="shared" si="79"/>
        <v>3.9050359712230214</v>
      </c>
      <c r="I68" s="7">
        <f t="shared" si="80"/>
        <v>179.29318068690893</v>
      </c>
      <c r="J68" s="7">
        <f t="shared" si="81"/>
        <v>64.195330600605942</v>
      </c>
      <c r="K68" s="9">
        <f t="shared" si="82"/>
        <v>0.36897374701670643</v>
      </c>
      <c r="L68" s="9">
        <f t="shared" si="83"/>
        <v>0.13388557118089001</v>
      </c>
    </row>
    <row r="69" spans="1:12" ht="15.75" customHeight="1">
      <c r="A69" s="2">
        <v>9</v>
      </c>
      <c r="B69" s="2">
        <v>2022</v>
      </c>
      <c r="C69" s="2" t="s">
        <v>20</v>
      </c>
      <c r="D69" s="2" t="s">
        <v>21</v>
      </c>
      <c r="E69" s="7">
        <f t="shared" si="76"/>
        <v>0.88371399987228327</v>
      </c>
      <c r="F69" s="7">
        <f t="shared" si="77"/>
        <v>0.1936108017817372</v>
      </c>
      <c r="G69" s="7">
        <f t="shared" si="78"/>
        <v>0.68720355731225302</v>
      </c>
      <c r="H69" s="7">
        <f t="shared" si="79"/>
        <v>2.0636498516320474</v>
      </c>
      <c r="I69" s="7">
        <f t="shared" si="80"/>
        <v>176.82806324110672</v>
      </c>
      <c r="J69" s="7">
        <f t="shared" si="81"/>
        <v>63.876494734963408</v>
      </c>
      <c r="K69" s="9">
        <f t="shared" si="82"/>
        <v>0.28931404573028463</v>
      </c>
      <c r="L69" s="9">
        <f t="shared" si="83"/>
        <v>0.12811252613571564</v>
      </c>
    </row>
    <row r="70" spans="1:12" ht="15.75" customHeight="1">
      <c r="A70" s="2">
        <v>10</v>
      </c>
      <c r="B70" s="2">
        <v>2022</v>
      </c>
      <c r="C70" s="2" t="s">
        <v>23</v>
      </c>
      <c r="D70" s="2" t="s">
        <v>21</v>
      </c>
      <c r="E70" s="7">
        <f t="shared" si="76"/>
        <v>1.4567520896129602</v>
      </c>
      <c r="F70" s="7">
        <f t="shared" si="77"/>
        <v>0.62263805286574192</v>
      </c>
      <c r="G70" s="7">
        <f t="shared" si="78"/>
        <v>2.3393313667649953</v>
      </c>
      <c r="H70" s="7">
        <f t="shared" si="79"/>
        <v>6.4914051841746243</v>
      </c>
      <c r="I70" s="7">
        <f t="shared" si="80"/>
        <v>196.01769911504425</v>
      </c>
      <c r="J70" s="7">
        <f t="shared" si="81"/>
        <v>66.218236173393123</v>
      </c>
      <c r="K70" s="9">
        <f t="shared" si="82"/>
        <v>0.26079295154185023</v>
      </c>
      <c r="L70" s="9">
        <f t="shared" si="83"/>
        <v>0.13571560822069986</v>
      </c>
    </row>
    <row r="71" spans="1:12" ht="15.75" customHeight="1">
      <c r="A71" s="2">
        <v>11</v>
      </c>
      <c r="B71" s="2">
        <v>2022</v>
      </c>
      <c r="C71" s="2" t="s">
        <v>25</v>
      </c>
      <c r="D71" s="2" t="s">
        <v>21</v>
      </c>
      <c r="E71" s="7">
        <f t="shared" si="76"/>
        <v>-1.8966334755808436E-3</v>
      </c>
      <c r="F71" s="7">
        <f t="shared" si="77"/>
        <v>1.1128795298726738E-2</v>
      </c>
      <c r="G71" s="7">
        <f t="shared" si="78"/>
        <v>4.3891839690970547E-2</v>
      </c>
      <c r="H71" s="7">
        <f t="shared" si="79"/>
        <v>0.13486646884272996</v>
      </c>
      <c r="I71" s="7">
        <f t="shared" si="80"/>
        <v>213.76146788990823</v>
      </c>
      <c r="J71" s="7">
        <f t="shared" si="81"/>
        <v>68.128654970760238</v>
      </c>
      <c r="K71" s="9">
        <f t="shared" si="82"/>
        <v>0.35754189944134079</v>
      </c>
      <c r="L71" s="9">
        <f t="shared" si="83"/>
        <v>0.11997152011391954</v>
      </c>
    </row>
    <row r="72" spans="1:12" ht="15.75" customHeight="1">
      <c r="A72" s="2">
        <v>12</v>
      </c>
      <c r="B72" s="2">
        <v>2022</v>
      </c>
      <c r="C72" s="2" t="s">
        <v>27</v>
      </c>
      <c r="D72" s="2" t="s">
        <v>21</v>
      </c>
      <c r="E72" s="7">
        <f t="shared" si="76"/>
        <v>1.2576577627233643</v>
      </c>
      <c r="F72" s="7">
        <f t="shared" si="77"/>
        <v>0.54516498625114573</v>
      </c>
      <c r="G72" s="7">
        <f t="shared" si="78"/>
        <v>1.8464105549088086</v>
      </c>
      <c r="H72" s="7">
        <f t="shared" si="79"/>
        <v>6.47374149659864</v>
      </c>
      <c r="I72" s="7">
        <f t="shared" si="80"/>
        <v>170.5859526581296</v>
      </c>
      <c r="J72" s="7">
        <f t="shared" si="81"/>
        <v>63.043166499354655</v>
      </c>
      <c r="K72" s="9">
        <f t="shared" si="82"/>
        <v>0.3950664136622391</v>
      </c>
      <c r="L72" s="9">
        <f t="shared" si="83"/>
        <v>0.12154787497932859</v>
      </c>
    </row>
    <row r="73" spans="1:12" ht="15.75" customHeight="1">
      <c r="A73" s="2">
        <v>13</v>
      </c>
      <c r="B73" s="2">
        <v>2023</v>
      </c>
      <c r="C73" s="2" t="s">
        <v>20</v>
      </c>
      <c r="D73" s="2" t="s">
        <v>21</v>
      </c>
      <c r="E73" s="7">
        <f t="shared" si="76"/>
        <v>1.2682574737211474</v>
      </c>
      <c r="F73" s="7">
        <f t="shared" si="77"/>
        <v>0.43746566344201609</v>
      </c>
      <c r="G73" s="7">
        <f t="shared" si="78"/>
        <v>1.4104351174432037</v>
      </c>
      <c r="H73" s="7">
        <f t="shared" si="79"/>
        <v>4.8708776595744681</v>
      </c>
      <c r="I73" s="7">
        <f t="shared" si="80"/>
        <v>157.14285714285714</v>
      </c>
      <c r="J73" s="7">
        <f t="shared" si="81"/>
        <v>61.111111111111114</v>
      </c>
      <c r="K73" s="9">
        <f t="shared" si="82"/>
        <v>0.27586206896551724</v>
      </c>
      <c r="L73" s="9">
        <f t="shared" si="83"/>
        <v>0.1249792255276716</v>
      </c>
    </row>
    <row r="74" spans="1:12" ht="15.75" customHeight="1">
      <c r="A74" s="2">
        <v>14</v>
      </c>
      <c r="B74" s="2">
        <v>2023</v>
      </c>
      <c r="C74" s="2" t="s">
        <v>23</v>
      </c>
      <c r="D74" s="2" t="s">
        <v>21</v>
      </c>
      <c r="E74" s="7">
        <f t="shared" si="76"/>
        <v>1.1676848540517351</v>
      </c>
      <c r="F74" s="7">
        <f t="shared" si="77"/>
        <v>0.15323216632811568</v>
      </c>
      <c r="G74" s="7">
        <f t="shared" si="78"/>
        <v>0.49551777434312211</v>
      </c>
      <c r="H74" s="7">
        <f t="shared" si="79"/>
        <v>1.6985430463576159</v>
      </c>
      <c r="I74" s="7">
        <f t="shared" si="80"/>
        <v>164.10355486862443</v>
      </c>
      <c r="J74" s="7">
        <f t="shared" si="81"/>
        <v>62.136064374542798</v>
      </c>
      <c r="K74" s="9">
        <f t="shared" si="82"/>
        <v>0.25119721375707443</v>
      </c>
      <c r="L74" s="9">
        <f t="shared" si="83"/>
        <v>0.12356792144026187</v>
      </c>
    </row>
    <row r="75" spans="1:12" ht="15.75" customHeight="1">
      <c r="A75" s="2">
        <v>15</v>
      </c>
      <c r="B75" s="2">
        <v>2023</v>
      </c>
      <c r="C75" s="2" t="s">
        <v>25</v>
      </c>
      <c r="D75" s="2" t="s">
        <v>21</v>
      </c>
      <c r="E75" s="7">
        <f t="shared" si="76"/>
        <v>1.0263935973746645</v>
      </c>
      <c r="F75" s="7">
        <f t="shared" si="77"/>
        <v>0.23332171893147499</v>
      </c>
      <c r="G75" s="7">
        <f t="shared" si="78"/>
        <v>0.76529523809523803</v>
      </c>
      <c r="H75" s="7">
        <f t="shared" si="79"/>
        <v>2.6607947019867551</v>
      </c>
      <c r="I75" s="7">
        <f t="shared" si="80"/>
        <v>168.15238095238095</v>
      </c>
      <c r="J75" s="7">
        <f t="shared" si="81"/>
        <v>62.707770990197474</v>
      </c>
      <c r="K75" s="9">
        <f t="shared" si="82"/>
        <v>0.25068997240110397</v>
      </c>
      <c r="L75" s="9">
        <f t="shared" si="83"/>
        <v>0.11906639331335751</v>
      </c>
    </row>
    <row r="76" spans="1:12" ht="15.75" customHeight="1">
      <c r="A76" s="2">
        <v>16</v>
      </c>
      <c r="B76" s="2">
        <v>2023</v>
      </c>
      <c r="C76" s="2" t="s">
        <v>27</v>
      </c>
      <c r="D76" s="2" t="s">
        <v>21</v>
      </c>
      <c r="E76" s="7">
        <f t="shared" si="76"/>
        <v>1.3730869601745135</v>
      </c>
      <c r="F76" s="7">
        <f t="shared" si="77"/>
        <v>0.51293191926103321</v>
      </c>
      <c r="G76" s="7">
        <f t="shared" si="78"/>
        <v>1.6992444276539478</v>
      </c>
      <c r="H76" s="7">
        <f t="shared" si="79"/>
        <v>5.4718978102189784</v>
      </c>
      <c r="I76" s="7">
        <f t="shared" si="80"/>
        <v>173.59274650547789</v>
      </c>
      <c r="J76" s="7">
        <f t="shared" si="81"/>
        <v>63.449323391328363</v>
      </c>
      <c r="K76" s="9">
        <f t="shared" si="82"/>
        <v>0.35547843331680712</v>
      </c>
      <c r="L76" s="9">
        <f t="shared" si="83"/>
        <v>0.12863849765258217</v>
      </c>
    </row>
    <row r="77" spans="1:12" ht="15.75" customHeight="1">
      <c r="A77" s="2">
        <v>17</v>
      </c>
      <c r="B77" s="2">
        <v>2024</v>
      </c>
      <c r="C77" s="2" t="s">
        <v>20</v>
      </c>
      <c r="D77" s="2" t="s">
        <v>21</v>
      </c>
      <c r="E77" s="7">
        <f t="shared" si="76"/>
        <v>1.270066893263879</v>
      </c>
      <c r="F77" s="7">
        <f t="shared" si="77"/>
        <v>0.36734027352520926</v>
      </c>
      <c r="G77" s="7">
        <f t="shared" si="78"/>
        <v>1.3305730129390019</v>
      </c>
      <c r="H77" s="7">
        <f t="shared" si="79"/>
        <v>4.4434567901234567</v>
      </c>
      <c r="I77" s="7">
        <f t="shared" si="80"/>
        <v>170.24029574861368</v>
      </c>
      <c r="J77" s="7">
        <f t="shared" si="81"/>
        <v>62.99589603283173</v>
      </c>
      <c r="K77" s="9">
        <f t="shared" si="82"/>
        <v>0.34518518518518521</v>
      </c>
      <c r="L77" s="9">
        <f t="shared" si="83"/>
        <v>0.12563983248022337</v>
      </c>
    </row>
    <row r="78" spans="1:12" ht="15.75" customHeight="1">
      <c r="A78" s="2">
        <v>18</v>
      </c>
      <c r="B78" s="2">
        <v>2024</v>
      </c>
      <c r="C78" s="2" t="s">
        <v>23</v>
      </c>
      <c r="D78" s="2" t="s">
        <v>21</v>
      </c>
      <c r="E78" s="7">
        <f t="shared" si="76"/>
        <v>0.92574121175760782</v>
      </c>
      <c r="F78" s="7">
        <f t="shared" si="77"/>
        <v>0.29677791892828276</v>
      </c>
      <c r="G78" s="7">
        <f t="shared" si="78"/>
        <v>0.95531598513011162</v>
      </c>
      <c r="H78" s="7">
        <f t="shared" si="79"/>
        <v>3.0411834319526632</v>
      </c>
      <c r="I78" s="7">
        <f t="shared" si="80"/>
        <v>168.95910780669146</v>
      </c>
      <c r="J78" s="7">
        <f t="shared" si="81"/>
        <v>62.819626814098143</v>
      </c>
      <c r="K78" s="9">
        <f t="shared" si="82"/>
        <v>0.30664725861232411</v>
      </c>
      <c r="L78" s="9">
        <f t="shared" si="83"/>
        <v>0.13194878201124297</v>
      </c>
    </row>
    <row r="79" spans="1:12" ht="15.75" customHeight="1">
      <c r="A79" s="2">
        <v>19</v>
      </c>
      <c r="B79" s="2">
        <v>2024</v>
      </c>
      <c r="C79" s="2" t="s">
        <v>25</v>
      </c>
      <c r="D79" s="2" t="s">
        <v>21</v>
      </c>
      <c r="E79" s="7">
        <f t="shared" si="76"/>
        <v>1.5532735257360031</v>
      </c>
      <c r="F79" s="7">
        <f t="shared" si="77"/>
        <v>0.6352823764236234</v>
      </c>
      <c r="G79" s="7">
        <f t="shared" si="78"/>
        <v>2.1053307392996112</v>
      </c>
      <c r="H79" s="7">
        <f t="shared" si="79"/>
        <v>6.4107819905213272</v>
      </c>
      <c r="I79" s="7">
        <f t="shared" si="80"/>
        <v>180.70038910505838</v>
      </c>
      <c r="J79" s="7">
        <f t="shared" si="81"/>
        <v>64.374826725810919</v>
      </c>
      <c r="K79" s="9">
        <f t="shared" si="82"/>
        <v>0.291151284490961</v>
      </c>
      <c r="L79" s="9">
        <f t="shared" si="83"/>
        <v>0.13525641025641025</v>
      </c>
    </row>
    <row r="80" spans="1:12" ht="15.75" customHeight="1">
      <c r="A80" s="2">
        <v>20</v>
      </c>
      <c r="B80" s="2">
        <v>2024</v>
      </c>
      <c r="C80" s="2" t="s">
        <v>27</v>
      </c>
      <c r="D80" s="2" t="s">
        <v>21</v>
      </c>
      <c r="E80" s="7">
        <f t="shared" si="76"/>
        <v>1.4239298102943991</v>
      </c>
      <c r="F80" s="7">
        <f t="shared" si="77"/>
        <v>0.56376189371083785</v>
      </c>
      <c r="G80" s="7">
        <f t="shared" si="78"/>
        <v>1.852974828375286</v>
      </c>
      <c r="H80" s="7">
        <f t="shared" si="79"/>
        <v>5.6428571428571432</v>
      </c>
      <c r="I80" s="7">
        <f t="shared" si="80"/>
        <v>175.7818459191457</v>
      </c>
      <c r="J80" s="7">
        <f t="shared" si="81"/>
        <v>63.73945512377265</v>
      </c>
      <c r="K80" s="9">
        <f t="shared" si="82"/>
        <v>0.35462184873949582</v>
      </c>
      <c r="L80" s="9">
        <f t="shared" si="83"/>
        <v>0.14107815828281173</v>
      </c>
    </row>
    <row r="81" spans="1:18" ht="15.75" customHeight="1">
      <c r="A81" s="2">
        <v>21</v>
      </c>
      <c r="B81" s="2">
        <v>2025</v>
      </c>
      <c r="C81" s="2" t="s">
        <v>20</v>
      </c>
      <c r="D81" s="5" t="s">
        <v>45</v>
      </c>
      <c r="E81" s="7">
        <f t="shared" si="76"/>
        <v>1.2938040479318795</v>
      </c>
      <c r="F81" s="7">
        <f t="shared" si="77"/>
        <v>0.34390617633191889</v>
      </c>
      <c r="G81" s="7">
        <f t="shared" si="78"/>
        <v>1.1446449588073753</v>
      </c>
      <c r="H81" s="7">
        <f t="shared" si="79"/>
        <v>3.5110709987966304</v>
      </c>
      <c r="I81" s="7">
        <f t="shared" si="80"/>
        <v>175.87289132993331</v>
      </c>
      <c r="J81" s="7">
        <f t="shared" si="81"/>
        <v>63.751422070534701</v>
      </c>
      <c r="K81" s="9">
        <f t="shared" si="82"/>
        <v>0.29701596113809853</v>
      </c>
      <c r="L81" s="9">
        <f t="shared" si="83"/>
        <v>0.13947633434038267</v>
      </c>
    </row>
    <row r="82" spans="1:18" ht="15.75" customHeight="1">
      <c r="A82" s="2">
        <v>22</v>
      </c>
      <c r="B82" s="2">
        <v>2025</v>
      </c>
      <c r="C82" s="2" t="s">
        <v>23</v>
      </c>
      <c r="D82" s="5" t="s">
        <v>45</v>
      </c>
      <c r="E82" s="7">
        <f t="shared" si="76"/>
        <v>1.2043327625629612</v>
      </c>
      <c r="F82" s="7">
        <f t="shared" si="77"/>
        <v>0.442845807987305</v>
      </c>
      <c r="G82" s="7">
        <f t="shared" si="78"/>
        <v>1.5048532055122827</v>
      </c>
      <c r="H82" s="7">
        <f t="shared" si="79"/>
        <v>5.5627906976744184</v>
      </c>
      <c r="I82" s="7">
        <f t="shared" si="80"/>
        <v>189.81426003594967</v>
      </c>
      <c r="J82" s="7">
        <f t="shared" si="81"/>
        <v>65.495141616704572</v>
      </c>
      <c r="K82" s="9">
        <f t="shared" si="82"/>
        <v>0.42366554684583801</v>
      </c>
      <c r="L82" s="9">
        <f t="shared" si="83"/>
        <v>0.12881597717546361</v>
      </c>
    </row>
    <row r="83" spans="1:18" ht="15.75" customHeight="1">
      <c r="A83" s="2">
        <v>23</v>
      </c>
      <c r="B83" s="2">
        <v>2025</v>
      </c>
      <c r="C83" s="2" t="s">
        <v>25</v>
      </c>
      <c r="D83" s="5" t="s">
        <v>45</v>
      </c>
      <c r="E83" s="7">
        <f t="shared" si="76"/>
        <v>1.0772430037644172</v>
      </c>
      <c r="F83" s="7">
        <f t="shared" si="77"/>
        <v>0.35017301038062287</v>
      </c>
      <c r="G83" s="7">
        <f t="shared" si="78"/>
        <v>1.2017500000000001</v>
      </c>
      <c r="H83" s="7">
        <f t="shared" si="79"/>
        <v>4.4716279069767442</v>
      </c>
      <c r="I83" s="7">
        <f t="shared" si="80"/>
        <v>190.625</v>
      </c>
      <c r="J83" s="7">
        <f t="shared" si="81"/>
        <v>65.591397849462368</v>
      </c>
      <c r="K83" s="9">
        <f t="shared" si="82"/>
        <v>0.36620603015075376</v>
      </c>
      <c r="L83" s="9">
        <f t="shared" si="83"/>
        <v>0.13042159538974826</v>
      </c>
    </row>
    <row r="84" spans="1:18" ht="15.75" customHeight="1">
      <c r="A84" s="2">
        <v>24</v>
      </c>
      <c r="B84" s="2">
        <v>2025</v>
      </c>
      <c r="C84" s="2" t="s">
        <v>27</v>
      </c>
      <c r="D84" s="5" t="s">
        <v>45</v>
      </c>
      <c r="E84" s="7">
        <f t="shared" si="76"/>
        <v>-5.1154522985550351E-2</v>
      </c>
      <c r="F84" s="7">
        <f t="shared" si="77"/>
        <v>-1.3973268529769136</v>
      </c>
      <c r="G84" s="7">
        <f t="shared" si="78"/>
        <v>-5.3648783738753751</v>
      </c>
      <c r="H84" s="7">
        <f t="shared" si="79"/>
        <v>-15.347950428979981</v>
      </c>
      <c r="I84" s="7">
        <f t="shared" si="80"/>
        <v>209.36354548483837</v>
      </c>
      <c r="J84" s="7">
        <f t="shared" si="81"/>
        <v>67.675570874623006</v>
      </c>
      <c r="K84" s="9">
        <f t="shared" si="82"/>
        <v>0.49326765188834154</v>
      </c>
      <c r="L84" s="9">
        <f t="shared" si="83"/>
        <v>0.15661391460137356</v>
      </c>
    </row>
    <row r="85" spans="1:18" ht="15.75" customHeight="1"/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8" ht="16.5" customHeight="1">
      <c r="A87" s="25" t="s">
        <v>80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  <c r="O87" s="6"/>
      <c r="P87" s="6"/>
      <c r="Q87" s="6"/>
      <c r="R87" s="6"/>
    </row>
    <row r="88" spans="1:18" ht="57.75" customHeight="1">
      <c r="A88" s="1" t="s">
        <v>81</v>
      </c>
      <c r="B88" s="1" t="s">
        <v>3</v>
      </c>
      <c r="C88" s="1" t="s">
        <v>82</v>
      </c>
      <c r="D88" s="1" t="s">
        <v>5</v>
      </c>
      <c r="E88" s="1" t="s">
        <v>72</v>
      </c>
      <c r="F88" s="1" t="s">
        <v>73</v>
      </c>
      <c r="G88" s="1" t="s">
        <v>74</v>
      </c>
      <c r="H88" s="1" t="s">
        <v>75</v>
      </c>
      <c r="I88" s="1" t="s">
        <v>76</v>
      </c>
      <c r="J88" s="1" t="s">
        <v>77</v>
      </c>
      <c r="K88" s="1" t="s">
        <v>78</v>
      </c>
      <c r="L88" s="1" t="s">
        <v>79</v>
      </c>
      <c r="M88" s="1" t="s">
        <v>83</v>
      </c>
      <c r="N88" s="1" t="s">
        <v>84</v>
      </c>
    </row>
    <row r="89" spans="1:18" ht="15.75" customHeight="1">
      <c r="A89" s="5">
        <v>1</v>
      </c>
      <c r="B89" s="2">
        <v>2020</v>
      </c>
      <c r="C89" s="11">
        <v>4</v>
      </c>
      <c r="D89" s="2" t="s">
        <v>21</v>
      </c>
      <c r="E89" s="7">
        <f t="shared" ref="E89:L89" si="84">AVERAGE(E61:E64)</f>
        <v>0.15906577088786966</v>
      </c>
      <c r="F89" s="7">
        <f t="shared" si="84"/>
        <v>0.10548777018445399</v>
      </c>
      <c r="G89" s="7">
        <f t="shared" si="84"/>
        <v>0.28947516093653913</v>
      </c>
      <c r="H89" s="7">
        <f t="shared" si="84"/>
        <v>1.2636695270140645</v>
      </c>
      <c r="I89" s="7">
        <f t="shared" si="84"/>
        <v>162.2680213926179</v>
      </c>
      <c r="J89" s="7">
        <f t="shared" si="84"/>
        <v>61.830577566913625</v>
      </c>
      <c r="K89" s="9">
        <f t="shared" si="84"/>
        <v>0.3585296286605954</v>
      </c>
      <c r="L89" s="9">
        <f t="shared" si="84"/>
        <v>0.13282458200508371</v>
      </c>
      <c r="M89" s="12">
        <f>VAR(E61:E64)</f>
        <v>3.3180430095563076</v>
      </c>
      <c r="N89" s="12">
        <f>VAR(K61:K64)</f>
        <v>2.1219326676515569E-3</v>
      </c>
    </row>
    <row r="90" spans="1:18" ht="15.75" customHeight="1">
      <c r="A90" s="5">
        <v>2</v>
      </c>
      <c r="B90" s="2">
        <v>2021</v>
      </c>
      <c r="C90" s="11">
        <v>4</v>
      </c>
      <c r="D90" s="2" t="s">
        <v>21</v>
      </c>
      <c r="E90" s="7">
        <f t="shared" ref="E90:L90" si="85">AVERAGE(E65:E68)</f>
        <v>1.178295319161659</v>
      </c>
      <c r="F90" s="7">
        <f t="shared" si="85"/>
        <v>0.47078552675273089</v>
      </c>
      <c r="G90" s="7">
        <f t="shared" si="85"/>
        <v>1.6396672656425033</v>
      </c>
      <c r="H90" s="7">
        <f t="shared" si="85"/>
        <v>4.8269511893253485</v>
      </c>
      <c r="I90" s="7">
        <f t="shared" si="85"/>
        <v>173.34417976210185</v>
      </c>
      <c r="J90" s="7">
        <f t="shared" si="85"/>
        <v>63.403545429290446</v>
      </c>
      <c r="K90" s="9">
        <f t="shared" si="85"/>
        <v>0.33495933271964284</v>
      </c>
      <c r="L90" s="9">
        <f t="shared" si="85"/>
        <v>0.13591305278915713</v>
      </c>
      <c r="M90" s="12">
        <f>VAR(E65:E68)</f>
        <v>4.5268075708191503E-2</v>
      </c>
      <c r="N90" s="12">
        <f>VAR(K65:K68)</f>
        <v>9.0137754872039895E-4</v>
      </c>
    </row>
    <row r="91" spans="1:18" ht="15.75" customHeight="1">
      <c r="A91" s="5">
        <v>3</v>
      </c>
      <c r="B91" s="2">
        <v>2022</v>
      </c>
      <c r="C91" s="11">
        <v>4</v>
      </c>
      <c r="D91" s="2" t="s">
        <v>21</v>
      </c>
      <c r="E91" s="7">
        <f t="shared" ref="E91:L91" si="86">AVERAGE(E69:E72)</f>
        <v>0.89905680468325677</v>
      </c>
      <c r="F91" s="7">
        <f t="shared" si="86"/>
        <v>0.3431356590493379</v>
      </c>
      <c r="G91" s="7">
        <f t="shared" si="86"/>
        <v>1.2292093296692568</v>
      </c>
      <c r="H91" s="7">
        <f t="shared" si="86"/>
        <v>3.7909157503120103</v>
      </c>
      <c r="I91" s="7">
        <f t="shared" si="86"/>
        <v>189.2982957260472</v>
      </c>
      <c r="J91" s="7">
        <f t="shared" si="86"/>
        <v>65.316638094617858</v>
      </c>
      <c r="K91" s="9">
        <f t="shared" si="86"/>
        <v>0.32567882759392869</v>
      </c>
      <c r="L91" s="9">
        <f t="shared" si="86"/>
        <v>0.12633688236241591</v>
      </c>
      <c r="M91" s="12">
        <f>VAR(E69:E72)</f>
        <v>0.417190392443268</v>
      </c>
      <c r="N91" s="12">
        <f>VAR(K69:K72)</f>
        <v>3.7874889063255757E-3</v>
      </c>
    </row>
    <row r="92" spans="1:18" ht="15.75" customHeight="1">
      <c r="A92" s="5">
        <v>4</v>
      </c>
      <c r="B92" s="2">
        <v>2023</v>
      </c>
      <c r="C92" s="11">
        <v>4</v>
      </c>
      <c r="D92" s="2" t="s">
        <v>21</v>
      </c>
      <c r="E92" s="7">
        <f t="shared" ref="E92:L92" si="87">AVERAGE(E73:E76)</f>
        <v>1.2088557213305151</v>
      </c>
      <c r="F92" s="7">
        <f t="shared" si="87"/>
        <v>0.33423786699065999</v>
      </c>
      <c r="G92" s="7">
        <f t="shared" si="87"/>
        <v>1.0926231393838779</v>
      </c>
      <c r="H92" s="7">
        <f t="shared" si="87"/>
        <v>3.675528304534454</v>
      </c>
      <c r="I92" s="7">
        <f t="shared" si="87"/>
        <v>165.7478848673351</v>
      </c>
      <c r="J92" s="7">
        <f t="shared" si="87"/>
        <v>62.351067466794937</v>
      </c>
      <c r="K92" s="9">
        <f t="shared" si="87"/>
        <v>0.2833069221101257</v>
      </c>
      <c r="L92" s="9">
        <f t="shared" si="87"/>
        <v>0.12406300948346828</v>
      </c>
      <c r="M92" s="12">
        <f>VAR(E73:E76)</f>
        <v>2.1829311663426647E-2</v>
      </c>
      <c r="N92" s="12">
        <f>VAR(K73:K76)</f>
        <v>2.4530172156799201E-3</v>
      </c>
    </row>
    <row r="93" spans="1:18" ht="15.75" customHeight="1">
      <c r="A93" s="5">
        <v>5</v>
      </c>
      <c r="B93" s="2">
        <v>2024</v>
      </c>
      <c r="C93" s="11">
        <v>4</v>
      </c>
      <c r="D93" s="2" t="s">
        <v>21</v>
      </c>
      <c r="E93" s="7">
        <f t="shared" ref="E93:L93" si="88">AVERAGE(E77:E80)</f>
        <v>1.2932528602629723</v>
      </c>
      <c r="F93" s="7">
        <f t="shared" si="88"/>
        <v>0.46579061564698832</v>
      </c>
      <c r="G93" s="7">
        <f t="shared" si="88"/>
        <v>1.5610486414360027</v>
      </c>
      <c r="H93" s="7">
        <f t="shared" si="88"/>
        <v>4.8845698388636478</v>
      </c>
      <c r="I93" s="7">
        <f t="shared" si="88"/>
        <v>173.92040964487731</v>
      </c>
      <c r="J93" s="7">
        <f t="shared" si="88"/>
        <v>63.482451174128357</v>
      </c>
      <c r="K93" s="9">
        <f t="shared" si="88"/>
        <v>0.32440139425699155</v>
      </c>
      <c r="L93" s="9">
        <f t="shared" si="88"/>
        <v>0.13348079575767208</v>
      </c>
      <c r="M93" s="12">
        <f>VAR(E77:E80)</f>
        <v>7.3429870865122801E-2</v>
      </c>
      <c r="N93" s="12">
        <f>VAR(K77:K80)</f>
        <v>9.2200698880610249E-4</v>
      </c>
    </row>
    <row r="94" spans="1:18" ht="15.75" customHeight="1">
      <c r="A94" s="5">
        <v>6</v>
      </c>
      <c r="B94" s="5">
        <v>2025</v>
      </c>
      <c r="C94" s="11">
        <v>4</v>
      </c>
      <c r="D94" s="5" t="s">
        <v>45</v>
      </c>
      <c r="E94" s="13">
        <f t="shared" ref="E94:L94" si="89">AVERAGE(E81:E84)</f>
        <v>0.88105632281842694</v>
      </c>
      <c r="F94" s="13">
        <f t="shared" si="89"/>
        <v>-6.5100464569266714E-2</v>
      </c>
      <c r="G94" s="13">
        <f t="shared" si="89"/>
        <v>-0.37840755238892931</v>
      </c>
      <c r="H94" s="13">
        <f t="shared" si="89"/>
        <v>-0.45061520638304708</v>
      </c>
      <c r="I94" s="13">
        <f t="shared" si="89"/>
        <v>191.41892421268034</v>
      </c>
      <c r="J94" s="13">
        <f t="shared" si="89"/>
        <v>65.628383102831165</v>
      </c>
      <c r="K94" s="14">
        <f t="shared" si="89"/>
        <v>0.39503879750575799</v>
      </c>
      <c r="L94" s="14">
        <f t="shared" si="89"/>
        <v>0.13883195537674203</v>
      </c>
      <c r="M94" s="12">
        <f>VAR(E81:E84)</f>
        <v>0.39412487196513385</v>
      </c>
      <c r="N94" s="12">
        <f>VAR(K81:K84)</f>
        <v>6.9694011780010818E-3</v>
      </c>
    </row>
    <row r="95" spans="1:18" ht="15.75" customHeight="1">
      <c r="A95" s="28" t="s">
        <v>85</v>
      </c>
      <c r="B95" s="29"/>
      <c r="C95" s="29"/>
      <c r="D95" s="30"/>
      <c r="E95" s="15">
        <f t="shared" ref="E95:N95" si="90">AVERAGE(E89,E90,E91,E92,E93,E94)</f>
        <v>0.9365971331907833</v>
      </c>
      <c r="F95" s="15">
        <f t="shared" si="90"/>
        <v>0.27572282900915074</v>
      </c>
      <c r="G95" s="15">
        <f t="shared" si="90"/>
        <v>0.90560266411320844</v>
      </c>
      <c r="H95" s="15">
        <f t="shared" si="90"/>
        <v>2.9985032339444131</v>
      </c>
      <c r="I95" s="15">
        <f t="shared" si="90"/>
        <v>175.99961926760992</v>
      </c>
      <c r="J95" s="15">
        <f t="shared" si="90"/>
        <v>63.668777139096058</v>
      </c>
      <c r="K95" s="16">
        <f t="shared" si="90"/>
        <v>0.33698581714117365</v>
      </c>
      <c r="L95" s="16">
        <f t="shared" si="90"/>
        <v>0.13190837962908986</v>
      </c>
      <c r="M95" s="17">
        <f t="shared" si="90"/>
        <v>0.71164758870024158</v>
      </c>
      <c r="N95" s="17">
        <f t="shared" si="90"/>
        <v>2.8592040841974396E-3</v>
      </c>
    </row>
    <row r="96" spans="1:1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95:D95"/>
    <mergeCell ref="A1:R1"/>
    <mergeCell ref="A2:R2"/>
    <mergeCell ref="A30:P30"/>
    <mergeCell ref="A58:L58"/>
    <mergeCell ref="A87:N8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Rasio Keuangan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zainal malik</cp:lastModifiedBy>
  <dcterms:modified xsi:type="dcterms:W3CDTF">2026-07-10T16:58:09Z</dcterms:modified>
</cp:coreProperties>
</file>